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ri Prada\Downloads\"/>
    </mc:Choice>
  </mc:AlternateContent>
  <xr:revisionPtr revIDLastSave="0" documentId="13_ncr:1_{7EFABEF0-D4EE-4B1D-8088-26C89D8C3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SELLING MEDICINE" sheetId="5" r:id="rId1"/>
    <sheet name="MedicalShopSales" sheetId="1" r:id="rId2"/>
  </sheets>
  <definedNames>
    <definedName name="_xlnm._FilterDatabase" localSheetId="1" hidden="1">MedicalShopSales!$A$1:$T$501</definedName>
  </definedNames>
  <calcPr calcId="191029"/>
  <pivotCaches>
    <pivotCache cacheId="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W46" i="1"/>
  <c r="W62" i="1"/>
  <c r="W78" i="1"/>
  <c r="W94" i="1"/>
  <c r="W110" i="1"/>
  <c r="W126" i="1"/>
  <c r="W142" i="1"/>
  <c r="W158" i="1"/>
  <c r="W174" i="1"/>
  <c r="W190" i="1"/>
  <c r="W206" i="1"/>
  <c r="W222" i="1"/>
  <c r="W238" i="1"/>
  <c r="W254" i="1"/>
  <c r="W270" i="1"/>
  <c r="W286" i="1"/>
  <c r="W302" i="1"/>
  <c r="W318" i="1"/>
  <c r="W334" i="1"/>
  <c r="W350" i="1"/>
  <c r="W366" i="1"/>
  <c r="W382" i="1"/>
  <c r="W398" i="1"/>
  <c r="W414" i="1"/>
  <c r="W430" i="1"/>
  <c r="W446" i="1"/>
  <c r="W462" i="1"/>
  <c r="W478" i="1"/>
  <c r="W494" i="1"/>
  <c r="W1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16" i="1"/>
  <c r="Y17" i="1"/>
  <c r="Y18" i="1"/>
  <c r="Y19" i="1"/>
  <c r="Y20" i="1"/>
  <c r="Y21" i="1"/>
  <c r="Y22" i="1"/>
  <c r="Y23" i="1"/>
  <c r="Y24" i="1"/>
  <c r="Y25" i="1"/>
  <c r="Y26" i="1"/>
  <c r="Y27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2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W44" i="1" s="1"/>
  <c r="V45" i="1"/>
  <c r="W45" i="1" s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W60" i="1" s="1"/>
  <c r="V61" i="1"/>
  <c r="W61" i="1" s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W76" i="1" s="1"/>
  <c r="V77" i="1"/>
  <c r="W77" i="1" s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W92" i="1" s="1"/>
  <c r="V93" i="1"/>
  <c r="W93" i="1" s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W108" i="1" s="1"/>
  <c r="V109" i="1"/>
  <c r="W109" i="1" s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W124" i="1" s="1"/>
  <c r="V125" i="1"/>
  <c r="W125" i="1" s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W140" i="1" s="1"/>
  <c r="V141" i="1"/>
  <c r="W141" i="1" s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W156" i="1" s="1"/>
  <c r="V157" i="1"/>
  <c r="W157" i="1" s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W172" i="1" s="1"/>
  <c r="V173" i="1"/>
  <c r="W173" i="1" s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W188" i="1" s="1"/>
  <c r="V189" i="1"/>
  <c r="W189" i="1" s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W204" i="1" s="1"/>
  <c r="V205" i="1"/>
  <c r="W205" i="1" s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W220" i="1" s="1"/>
  <c r="V221" i="1"/>
  <c r="W221" i="1" s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W236" i="1" s="1"/>
  <c r="V237" i="1"/>
  <c r="W237" i="1" s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W252" i="1" s="1"/>
  <c r="V253" i="1"/>
  <c r="W253" i="1" s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W268" i="1" s="1"/>
  <c r="V269" i="1"/>
  <c r="W269" i="1" s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W284" i="1" s="1"/>
  <c r="V285" i="1"/>
  <c r="W285" i="1" s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W300" i="1" s="1"/>
  <c r="V301" i="1"/>
  <c r="W301" i="1" s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W316" i="1" s="1"/>
  <c r="V317" i="1"/>
  <c r="W317" i="1" s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W332" i="1" s="1"/>
  <c r="V333" i="1"/>
  <c r="W333" i="1" s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W348" i="1" s="1"/>
  <c r="V349" i="1"/>
  <c r="W349" i="1" s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W364" i="1" s="1"/>
  <c r="V365" i="1"/>
  <c r="W365" i="1" s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W380" i="1" s="1"/>
  <c r="V381" i="1"/>
  <c r="W381" i="1" s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W396" i="1" s="1"/>
  <c r="V397" i="1"/>
  <c r="W397" i="1" s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W412" i="1" s="1"/>
  <c r="V413" i="1"/>
  <c r="W413" i="1" s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W428" i="1" s="1"/>
  <c r="V429" i="1"/>
  <c r="W429" i="1" s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W444" i="1" s="1"/>
  <c r="V445" i="1"/>
  <c r="W445" i="1" s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W460" i="1" s="1"/>
  <c r="V461" i="1"/>
  <c r="W461" i="1" s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W476" i="1" s="1"/>
  <c r="V477" i="1"/>
  <c r="W477" i="1" s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W492" i="1" s="1"/>
  <c r="V493" i="1"/>
  <c r="W493" i="1" s="1"/>
  <c r="V494" i="1"/>
  <c r="V495" i="1"/>
  <c r="V496" i="1"/>
  <c r="V497" i="1"/>
  <c r="V498" i="1"/>
  <c r="V499" i="1"/>
  <c r="V500" i="1"/>
  <c r="V501" i="1"/>
  <c r="V3" i="1"/>
  <c r="V4" i="1"/>
  <c r="V5" i="1"/>
  <c r="V6" i="1"/>
  <c r="V7" i="1"/>
  <c r="V8" i="1"/>
  <c r="V9" i="1"/>
  <c r="W9" i="1" s="1"/>
  <c r="V10" i="1"/>
  <c r="W10" i="1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2" i="1"/>
  <c r="U8" i="1"/>
  <c r="W8" i="1" s="1"/>
  <c r="U9" i="1"/>
  <c r="U10" i="1"/>
  <c r="U11" i="1"/>
  <c r="U12" i="1"/>
  <c r="W12" i="1" s="1"/>
  <c r="U13" i="1"/>
  <c r="W13" i="1" s="1"/>
  <c r="U14" i="1"/>
  <c r="W14" i="1" s="1"/>
  <c r="U15" i="1"/>
  <c r="W15" i="1" s="1"/>
  <c r="U16" i="1"/>
  <c r="W16" i="1" s="1"/>
  <c r="U17" i="1"/>
  <c r="W17" i="1" s="1"/>
  <c r="U18" i="1"/>
  <c r="W18" i="1" s="1"/>
  <c r="U19" i="1"/>
  <c r="W19" i="1" s="1"/>
  <c r="U20" i="1"/>
  <c r="W20" i="1" s="1"/>
  <c r="U21" i="1"/>
  <c r="W21" i="1" s="1"/>
  <c r="U22" i="1"/>
  <c r="W22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4" i="1"/>
  <c r="W34" i="1" s="1"/>
  <c r="U35" i="1"/>
  <c r="W35" i="1" s="1"/>
  <c r="U36" i="1"/>
  <c r="W36" i="1" s="1"/>
  <c r="U37" i="1"/>
  <c r="W37" i="1" s="1"/>
  <c r="U38" i="1"/>
  <c r="W38" i="1" s="1"/>
  <c r="U39" i="1"/>
  <c r="W39" i="1" s="1"/>
  <c r="U40" i="1"/>
  <c r="W40" i="1" s="1"/>
  <c r="U41" i="1"/>
  <c r="W41" i="1" s="1"/>
  <c r="U42" i="1"/>
  <c r="W42" i="1" s="1"/>
  <c r="U43" i="1"/>
  <c r="W43" i="1" s="1"/>
  <c r="U44" i="1"/>
  <c r="U45" i="1"/>
  <c r="U46" i="1"/>
  <c r="U47" i="1"/>
  <c r="W47" i="1" s="1"/>
  <c r="U48" i="1"/>
  <c r="W48" i="1" s="1"/>
  <c r="U49" i="1"/>
  <c r="W49" i="1" s="1"/>
  <c r="U50" i="1"/>
  <c r="W50" i="1" s="1"/>
  <c r="U51" i="1"/>
  <c r="W51" i="1" s="1"/>
  <c r="U52" i="1"/>
  <c r="W52" i="1" s="1"/>
  <c r="U53" i="1"/>
  <c r="W53" i="1" s="1"/>
  <c r="U54" i="1"/>
  <c r="W54" i="1" s="1"/>
  <c r="U55" i="1"/>
  <c r="W55" i="1" s="1"/>
  <c r="U56" i="1"/>
  <c r="W56" i="1" s="1"/>
  <c r="U57" i="1"/>
  <c r="W57" i="1" s="1"/>
  <c r="U58" i="1"/>
  <c r="W58" i="1" s="1"/>
  <c r="U59" i="1"/>
  <c r="W59" i="1" s="1"/>
  <c r="U60" i="1"/>
  <c r="U61" i="1"/>
  <c r="U62" i="1"/>
  <c r="U63" i="1"/>
  <c r="W63" i="1" s="1"/>
  <c r="U64" i="1"/>
  <c r="W64" i="1" s="1"/>
  <c r="U65" i="1"/>
  <c r="W65" i="1" s="1"/>
  <c r="U66" i="1"/>
  <c r="W66" i="1" s="1"/>
  <c r="U67" i="1"/>
  <c r="W67" i="1" s="1"/>
  <c r="U68" i="1"/>
  <c r="W68" i="1" s="1"/>
  <c r="U69" i="1"/>
  <c r="W69" i="1" s="1"/>
  <c r="U70" i="1"/>
  <c r="W70" i="1" s="1"/>
  <c r="U71" i="1"/>
  <c r="W71" i="1" s="1"/>
  <c r="U72" i="1"/>
  <c r="W72" i="1" s="1"/>
  <c r="U73" i="1"/>
  <c r="W73" i="1" s="1"/>
  <c r="U74" i="1"/>
  <c r="W74" i="1" s="1"/>
  <c r="U75" i="1"/>
  <c r="W75" i="1" s="1"/>
  <c r="U76" i="1"/>
  <c r="U77" i="1"/>
  <c r="U78" i="1"/>
  <c r="U79" i="1"/>
  <c r="W79" i="1" s="1"/>
  <c r="U80" i="1"/>
  <c r="W80" i="1" s="1"/>
  <c r="U81" i="1"/>
  <c r="W81" i="1" s="1"/>
  <c r="U82" i="1"/>
  <c r="W82" i="1" s="1"/>
  <c r="U83" i="1"/>
  <c r="W83" i="1" s="1"/>
  <c r="U84" i="1"/>
  <c r="W84" i="1" s="1"/>
  <c r="U85" i="1"/>
  <c r="W85" i="1" s="1"/>
  <c r="U86" i="1"/>
  <c r="W86" i="1" s="1"/>
  <c r="U87" i="1"/>
  <c r="W87" i="1" s="1"/>
  <c r="U88" i="1"/>
  <c r="W88" i="1" s="1"/>
  <c r="U89" i="1"/>
  <c r="W89" i="1" s="1"/>
  <c r="U90" i="1"/>
  <c r="W90" i="1" s="1"/>
  <c r="U91" i="1"/>
  <c r="W91" i="1" s="1"/>
  <c r="U92" i="1"/>
  <c r="U93" i="1"/>
  <c r="U94" i="1"/>
  <c r="U95" i="1"/>
  <c r="W95" i="1" s="1"/>
  <c r="U96" i="1"/>
  <c r="W96" i="1" s="1"/>
  <c r="U97" i="1"/>
  <c r="W97" i="1" s="1"/>
  <c r="U98" i="1"/>
  <c r="W98" i="1" s="1"/>
  <c r="U99" i="1"/>
  <c r="W99" i="1" s="1"/>
  <c r="U100" i="1"/>
  <c r="W100" i="1" s="1"/>
  <c r="U101" i="1"/>
  <c r="W101" i="1" s="1"/>
  <c r="U102" i="1"/>
  <c r="W102" i="1" s="1"/>
  <c r="U103" i="1"/>
  <c r="W103" i="1" s="1"/>
  <c r="U104" i="1"/>
  <c r="W104" i="1" s="1"/>
  <c r="U105" i="1"/>
  <c r="W105" i="1" s="1"/>
  <c r="U106" i="1"/>
  <c r="W106" i="1" s="1"/>
  <c r="U107" i="1"/>
  <c r="W107" i="1" s="1"/>
  <c r="U108" i="1"/>
  <c r="U109" i="1"/>
  <c r="U110" i="1"/>
  <c r="U111" i="1"/>
  <c r="W111" i="1" s="1"/>
  <c r="U112" i="1"/>
  <c r="W112" i="1" s="1"/>
  <c r="U113" i="1"/>
  <c r="W113" i="1" s="1"/>
  <c r="U114" i="1"/>
  <c r="W114" i="1" s="1"/>
  <c r="U115" i="1"/>
  <c r="W115" i="1" s="1"/>
  <c r="U116" i="1"/>
  <c r="W116" i="1" s="1"/>
  <c r="U117" i="1"/>
  <c r="W117" i="1" s="1"/>
  <c r="U118" i="1"/>
  <c r="W118" i="1" s="1"/>
  <c r="U119" i="1"/>
  <c r="W119" i="1" s="1"/>
  <c r="U120" i="1"/>
  <c r="W120" i="1" s="1"/>
  <c r="U121" i="1"/>
  <c r="W121" i="1" s="1"/>
  <c r="U122" i="1"/>
  <c r="W122" i="1" s="1"/>
  <c r="U123" i="1"/>
  <c r="W123" i="1" s="1"/>
  <c r="U124" i="1"/>
  <c r="U125" i="1"/>
  <c r="U126" i="1"/>
  <c r="U127" i="1"/>
  <c r="W127" i="1" s="1"/>
  <c r="U128" i="1"/>
  <c r="W128" i="1" s="1"/>
  <c r="U129" i="1"/>
  <c r="W129" i="1" s="1"/>
  <c r="U130" i="1"/>
  <c r="W130" i="1" s="1"/>
  <c r="U131" i="1"/>
  <c r="W131" i="1" s="1"/>
  <c r="U132" i="1"/>
  <c r="W132" i="1" s="1"/>
  <c r="U133" i="1"/>
  <c r="W133" i="1" s="1"/>
  <c r="U134" i="1"/>
  <c r="W134" i="1" s="1"/>
  <c r="U135" i="1"/>
  <c r="W135" i="1" s="1"/>
  <c r="U136" i="1"/>
  <c r="W136" i="1" s="1"/>
  <c r="U137" i="1"/>
  <c r="W137" i="1" s="1"/>
  <c r="U138" i="1"/>
  <c r="W138" i="1" s="1"/>
  <c r="U139" i="1"/>
  <c r="W139" i="1" s="1"/>
  <c r="U140" i="1"/>
  <c r="U141" i="1"/>
  <c r="U142" i="1"/>
  <c r="U143" i="1"/>
  <c r="W143" i="1" s="1"/>
  <c r="U144" i="1"/>
  <c r="W144" i="1" s="1"/>
  <c r="U145" i="1"/>
  <c r="W145" i="1" s="1"/>
  <c r="U146" i="1"/>
  <c r="W146" i="1" s="1"/>
  <c r="U147" i="1"/>
  <c r="W147" i="1" s="1"/>
  <c r="U148" i="1"/>
  <c r="W148" i="1" s="1"/>
  <c r="U149" i="1"/>
  <c r="W149" i="1" s="1"/>
  <c r="U150" i="1"/>
  <c r="W150" i="1" s="1"/>
  <c r="U151" i="1"/>
  <c r="W151" i="1" s="1"/>
  <c r="U152" i="1"/>
  <c r="W152" i="1" s="1"/>
  <c r="U153" i="1"/>
  <c r="W153" i="1" s="1"/>
  <c r="U154" i="1"/>
  <c r="W154" i="1" s="1"/>
  <c r="U155" i="1"/>
  <c r="W155" i="1" s="1"/>
  <c r="U156" i="1"/>
  <c r="U157" i="1"/>
  <c r="U158" i="1"/>
  <c r="U159" i="1"/>
  <c r="W159" i="1" s="1"/>
  <c r="U160" i="1"/>
  <c r="W160" i="1" s="1"/>
  <c r="U161" i="1"/>
  <c r="W161" i="1" s="1"/>
  <c r="U162" i="1"/>
  <c r="W162" i="1" s="1"/>
  <c r="U163" i="1"/>
  <c r="W163" i="1" s="1"/>
  <c r="U164" i="1"/>
  <c r="W164" i="1" s="1"/>
  <c r="U165" i="1"/>
  <c r="W165" i="1" s="1"/>
  <c r="U166" i="1"/>
  <c r="W166" i="1" s="1"/>
  <c r="U167" i="1"/>
  <c r="W167" i="1" s="1"/>
  <c r="U168" i="1"/>
  <c r="W168" i="1" s="1"/>
  <c r="U169" i="1"/>
  <c r="W169" i="1" s="1"/>
  <c r="U170" i="1"/>
  <c r="W170" i="1" s="1"/>
  <c r="U171" i="1"/>
  <c r="W171" i="1" s="1"/>
  <c r="U172" i="1"/>
  <c r="U173" i="1"/>
  <c r="U174" i="1"/>
  <c r="U175" i="1"/>
  <c r="W175" i="1" s="1"/>
  <c r="U176" i="1"/>
  <c r="W176" i="1" s="1"/>
  <c r="U177" i="1"/>
  <c r="W177" i="1" s="1"/>
  <c r="U178" i="1"/>
  <c r="W178" i="1" s="1"/>
  <c r="U179" i="1"/>
  <c r="W179" i="1" s="1"/>
  <c r="U180" i="1"/>
  <c r="W180" i="1" s="1"/>
  <c r="U181" i="1"/>
  <c r="W181" i="1" s="1"/>
  <c r="U182" i="1"/>
  <c r="W182" i="1" s="1"/>
  <c r="U183" i="1"/>
  <c r="W183" i="1" s="1"/>
  <c r="U184" i="1"/>
  <c r="W184" i="1" s="1"/>
  <c r="U185" i="1"/>
  <c r="W185" i="1" s="1"/>
  <c r="U186" i="1"/>
  <c r="W186" i="1" s="1"/>
  <c r="U187" i="1"/>
  <c r="W187" i="1" s="1"/>
  <c r="U188" i="1"/>
  <c r="U189" i="1"/>
  <c r="U190" i="1"/>
  <c r="U191" i="1"/>
  <c r="W191" i="1" s="1"/>
  <c r="U192" i="1"/>
  <c r="W192" i="1" s="1"/>
  <c r="U193" i="1"/>
  <c r="W193" i="1" s="1"/>
  <c r="U194" i="1"/>
  <c r="W194" i="1" s="1"/>
  <c r="U195" i="1"/>
  <c r="W195" i="1" s="1"/>
  <c r="U196" i="1"/>
  <c r="W196" i="1" s="1"/>
  <c r="U197" i="1"/>
  <c r="W197" i="1" s="1"/>
  <c r="U198" i="1"/>
  <c r="W198" i="1" s="1"/>
  <c r="U199" i="1"/>
  <c r="W199" i="1" s="1"/>
  <c r="U200" i="1"/>
  <c r="W200" i="1" s="1"/>
  <c r="U201" i="1"/>
  <c r="W201" i="1" s="1"/>
  <c r="U202" i="1"/>
  <c r="W202" i="1" s="1"/>
  <c r="U203" i="1"/>
  <c r="W203" i="1" s="1"/>
  <c r="U204" i="1"/>
  <c r="U205" i="1"/>
  <c r="U206" i="1"/>
  <c r="U207" i="1"/>
  <c r="W207" i="1" s="1"/>
  <c r="U208" i="1"/>
  <c r="W208" i="1" s="1"/>
  <c r="U209" i="1"/>
  <c r="W209" i="1" s="1"/>
  <c r="U210" i="1"/>
  <c r="W210" i="1" s="1"/>
  <c r="U211" i="1"/>
  <c r="W211" i="1" s="1"/>
  <c r="U212" i="1"/>
  <c r="W212" i="1" s="1"/>
  <c r="U213" i="1"/>
  <c r="W213" i="1" s="1"/>
  <c r="U214" i="1"/>
  <c r="W214" i="1" s="1"/>
  <c r="U215" i="1"/>
  <c r="W215" i="1" s="1"/>
  <c r="U216" i="1"/>
  <c r="W216" i="1" s="1"/>
  <c r="U217" i="1"/>
  <c r="W217" i="1" s="1"/>
  <c r="U218" i="1"/>
  <c r="W218" i="1" s="1"/>
  <c r="U219" i="1"/>
  <c r="W219" i="1" s="1"/>
  <c r="U220" i="1"/>
  <c r="U221" i="1"/>
  <c r="U222" i="1"/>
  <c r="U223" i="1"/>
  <c r="W223" i="1" s="1"/>
  <c r="U224" i="1"/>
  <c r="W224" i="1" s="1"/>
  <c r="U225" i="1"/>
  <c r="W225" i="1" s="1"/>
  <c r="U226" i="1"/>
  <c r="W226" i="1" s="1"/>
  <c r="U227" i="1"/>
  <c r="W227" i="1" s="1"/>
  <c r="U228" i="1"/>
  <c r="W228" i="1" s="1"/>
  <c r="U229" i="1"/>
  <c r="W229" i="1" s="1"/>
  <c r="U230" i="1"/>
  <c r="W230" i="1" s="1"/>
  <c r="U231" i="1"/>
  <c r="W231" i="1" s="1"/>
  <c r="U232" i="1"/>
  <c r="W232" i="1" s="1"/>
  <c r="U233" i="1"/>
  <c r="W233" i="1" s="1"/>
  <c r="U234" i="1"/>
  <c r="W234" i="1" s="1"/>
  <c r="U235" i="1"/>
  <c r="W235" i="1" s="1"/>
  <c r="U236" i="1"/>
  <c r="U237" i="1"/>
  <c r="U238" i="1"/>
  <c r="U239" i="1"/>
  <c r="W239" i="1" s="1"/>
  <c r="U240" i="1"/>
  <c r="W240" i="1" s="1"/>
  <c r="U241" i="1"/>
  <c r="W241" i="1" s="1"/>
  <c r="U242" i="1"/>
  <c r="W242" i="1" s="1"/>
  <c r="U243" i="1"/>
  <c r="W243" i="1" s="1"/>
  <c r="U244" i="1"/>
  <c r="W244" i="1" s="1"/>
  <c r="U245" i="1"/>
  <c r="W245" i="1" s="1"/>
  <c r="U246" i="1"/>
  <c r="W246" i="1" s="1"/>
  <c r="U247" i="1"/>
  <c r="W247" i="1" s="1"/>
  <c r="U248" i="1"/>
  <c r="W248" i="1" s="1"/>
  <c r="U249" i="1"/>
  <c r="W249" i="1" s="1"/>
  <c r="U250" i="1"/>
  <c r="W250" i="1" s="1"/>
  <c r="U251" i="1"/>
  <c r="W251" i="1" s="1"/>
  <c r="U252" i="1"/>
  <c r="U253" i="1"/>
  <c r="U254" i="1"/>
  <c r="U255" i="1"/>
  <c r="W255" i="1" s="1"/>
  <c r="U256" i="1"/>
  <c r="W256" i="1" s="1"/>
  <c r="U257" i="1"/>
  <c r="W257" i="1" s="1"/>
  <c r="U258" i="1"/>
  <c r="W258" i="1" s="1"/>
  <c r="U259" i="1"/>
  <c r="W259" i="1" s="1"/>
  <c r="U260" i="1"/>
  <c r="W260" i="1" s="1"/>
  <c r="U261" i="1"/>
  <c r="W261" i="1" s="1"/>
  <c r="U262" i="1"/>
  <c r="W262" i="1" s="1"/>
  <c r="U263" i="1"/>
  <c r="W263" i="1" s="1"/>
  <c r="U264" i="1"/>
  <c r="W264" i="1" s="1"/>
  <c r="U265" i="1"/>
  <c r="W265" i="1" s="1"/>
  <c r="U266" i="1"/>
  <c r="W266" i="1" s="1"/>
  <c r="U267" i="1"/>
  <c r="W267" i="1" s="1"/>
  <c r="U268" i="1"/>
  <c r="U269" i="1"/>
  <c r="U270" i="1"/>
  <c r="U271" i="1"/>
  <c r="W271" i="1" s="1"/>
  <c r="U272" i="1"/>
  <c r="W272" i="1" s="1"/>
  <c r="U273" i="1"/>
  <c r="W273" i="1" s="1"/>
  <c r="U274" i="1"/>
  <c r="W274" i="1" s="1"/>
  <c r="U275" i="1"/>
  <c r="W275" i="1" s="1"/>
  <c r="U276" i="1"/>
  <c r="W276" i="1" s="1"/>
  <c r="U277" i="1"/>
  <c r="W277" i="1" s="1"/>
  <c r="U278" i="1"/>
  <c r="W278" i="1" s="1"/>
  <c r="U279" i="1"/>
  <c r="W279" i="1" s="1"/>
  <c r="U280" i="1"/>
  <c r="W280" i="1" s="1"/>
  <c r="U281" i="1"/>
  <c r="W281" i="1" s="1"/>
  <c r="U282" i="1"/>
  <c r="W282" i="1" s="1"/>
  <c r="U283" i="1"/>
  <c r="W283" i="1" s="1"/>
  <c r="U284" i="1"/>
  <c r="U285" i="1"/>
  <c r="U286" i="1"/>
  <c r="U287" i="1"/>
  <c r="W287" i="1" s="1"/>
  <c r="U288" i="1"/>
  <c r="W288" i="1" s="1"/>
  <c r="U289" i="1"/>
  <c r="W289" i="1" s="1"/>
  <c r="U290" i="1"/>
  <c r="W290" i="1" s="1"/>
  <c r="U291" i="1"/>
  <c r="W291" i="1" s="1"/>
  <c r="U292" i="1"/>
  <c r="W292" i="1" s="1"/>
  <c r="U293" i="1"/>
  <c r="W293" i="1" s="1"/>
  <c r="U294" i="1"/>
  <c r="W294" i="1" s="1"/>
  <c r="U295" i="1"/>
  <c r="W295" i="1" s="1"/>
  <c r="U296" i="1"/>
  <c r="W296" i="1" s="1"/>
  <c r="U297" i="1"/>
  <c r="W297" i="1" s="1"/>
  <c r="U298" i="1"/>
  <c r="W298" i="1" s="1"/>
  <c r="U299" i="1"/>
  <c r="W299" i="1" s="1"/>
  <c r="U300" i="1"/>
  <c r="U301" i="1"/>
  <c r="U302" i="1"/>
  <c r="U303" i="1"/>
  <c r="W303" i="1" s="1"/>
  <c r="U304" i="1"/>
  <c r="W304" i="1" s="1"/>
  <c r="U305" i="1"/>
  <c r="W305" i="1" s="1"/>
  <c r="U306" i="1"/>
  <c r="W306" i="1" s="1"/>
  <c r="U307" i="1"/>
  <c r="W307" i="1" s="1"/>
  <c r="U308" i="1"/>
  <c r="W308" i="1" s="1"/>
  <c r="U309" i="1"/>
  <c r="W309" i="1" s="1"/>
  <c r="U310" i="1"/>
  <c r="W310" i="1" s="1"/>
  <c r="U311" i="1"/>
  <c r="W311" i="1" s="1"/>
  <c r="U312" i="1"/>
  <c r="W312" i="1" s="1"/>
  <c r="U313" i="1"/>
  <c r="W313" i="1" s="1"/>
  <c r="U314" i="1"/>
  <c r="W314" i="1" s="1"/>
  <c r="U315" i="1"/>
  <c r="W315" i="1" s="1"/>
  <c r="U316" i="1"/>
  <c r="U317" i="1"/>
  <c r="U318" i="1"/>
  <c r="U319" i="1"/>
  <c r="W319" i="1" s="1"/>
  <c r="U320" i="1"/>
  <c r="W320" i="1" s="1"/>
  <c r="U321" i="1"/>
  <c r="W321" i="1" s="1"/>
  <c r="U322" i="1"/>
  <c r="W322" i="1" s="1"/>
  <c r="U323" i="1"/>
  <c r="W323" i="1" s="1"/>
  <c r="U324" i="1"/>
  <c r="W324" i="1" s="1"/>
  <c r="U325" i="1"/>
  <c r="W325" i="1" s="1"/>
  <c r="U326" i="1"/>
  <c r="W326" i="1" s="1"/>
  <c r="U327" i="1"/>
  <c r="W327" i="1" s="1"/>
  <c r="U328" i="1"/>
  <c r="W328" i="1" s="1"/>
  <c r="U329" i="1"/>
  <c r="W329" i="1" s="1"/>
  <c r="U330" i="1"/>
  <c r="W330" i="1" s="1"/>
  <c r="U331" i="1"/>
  <c r="W331" i="1" s="1"/>
  <c r="U332" i="1"/>
  <c r="U333" i="1"/>
  <c r="U334" i="1"/>
  <c r="U335" i="1"/>
  <c r="W335" i="1" s="1"/>
  <c r="U336" i="1"/>
  <c r="W336" i="1" s="1"/>
  <c r="U337" i="1"/>
  <c r="W337" i="1" s="1"/>
  <c r="U338" i="1"/>
  <c r="W338" i="1" s="1"/>
  <c r="U339" i="1"/>
  <c r="W339" i="1" s="1"/>
  <c r="U340" i="1"/>
  <c r="W340" i="1" s="1"/>
  <c r="U341" i="1"/>
  <c r="W341" i="1" s="1"/>
  <c r="U342" i="1"/>
  <c r="W342" i="1" s="1"/>
  <c r="U343" i="1"/>
  <c r="W343" i="1" s="1"/>
  <c r="U344" i="1"/>
  <c r="W344" i="1" s="1"/>
  <c r="U345" i="1"/>
  <c r="W345" i="1" s="1"/>
  <c r="U346" i="1"/>
  <c r="W346" i="1" s="1"/>
  <c r="U347" i="1"/>
  <c r="W347" i="1" s="1"/>
  <c r="U348" i="1"/>
  <c r="U349" i="1"/>
  <c r="U350" i="1"/>
  <c r="U351" i="1"/>
  <c r="W351" i="1" s="1"/>
  <c r="U352" i="1"/>
  <c r="W352" i="1" s="1"/>
  <c r="U353" i="1"/>
  <c r="W353" i="1" s="1"/>
  <c r="U354" i="1"/>
  <c r="W354" i="1" s="1"/>
  <c r="U355" i="1"/>
  <c r="W355" i="1" s="1"/>
  <c r="U356" i="1"/>
  <c r="W356" i="1" s="1"/>
  <c r="U357" i="1"/>
  <c r="W357" i="1" s="1"/>
  <c r="U358" i="1"/>
  <c r="W358" i="1" s="1"/>
  <c r="U359" i="1"/>
  <c r="W359" i="1" s="1"/>
  <c r="U360" i="1"/>
  <c r="W360" i="1" s="1"/>
  <c r="U361" i="1"/>
  <c r="W361" i="1" s="1"/>
  <c r="U362" i="1"/>
  <c r="W362" i="1" s="1"/>
  <c r="U363" i="1"/>
  <c r="W363" i="1" s="1"/>
  <c r="U364" i="1"/>
  <c r="U365" i="1"/>
  <c r="U366" i="1"/>
  <c r="U367" i="1"/>
  <c r="W367" i="1" s="1"/>
  <c r="U368" i="1"/>
  <c r="W368" i="1" s="1"/>
  <c r="U369" i="1"/>
  <c r="W369" i="1" s="1"/>
  <c r="U370" i="1"/>
  <c r="W370" i="1" s="1"/>
  <c r="U371" i="1"/>
  <c r="W371" i="1" s="1"/>
  <c r="U372" i="1"/>
  <c r="W372" i="1" s="1"/>
  <c r="U373" i="1"/>
  <c r="W373" i="1" s="1"/>
  <c r="U374" i="1"/>
  <c r="W374" i="1" s="1"/>
  <c r="U375" i="1"/>
  <c r="W375" i="1" s="1"/>
  <c r="U376" i="1"/>
  <c r="W376" i="1" s="1"/>
  <c r="U377" i="1"/>
  <c r="W377" i="1" s="1"/>
  <c r="U378" i="1"/>
  <c r="W378" i="1" s="1"/>
  <c r="U379" i="1"/>
  <c r="W379" i="1" s="1"/>
  <c r="U380" i="1"/>
  <c r="U381" i="1"/>
  <c r="U382" i="1"/>
  <c r="U383" i="1"/>
  <c r="W383" i="1" s="1"/>
  <c r="U384" i="1"/>
  <c r="W384" i="1" s="1"/>
  <c r="U385" i="1"/>
  <c r="W385" i="1" s="1"/>
  <c r="U386" i="1"/>
  <c r="W386" i="1" s="1"/>
  <c r="U387" i="1"/>
  <c r="W387" i="1" s="1"/>
  <c r="U388" i="1"/>
  <c r="W388" i="1" s="1"/>
  <c r="U389" i="1"/>
  <c r="W389" i="1" s="1"/>
  <c r="U390" i="1"/>
  <c r="W390" i="1" s="1"/>
  <c r="U391" i="1"/>
  <c r="W391" i="1" s="1"/>
  <c r="U392" i="1"/>
  <c r="W392" i="1" s="1"/>
  <c r="U393" i="1"/>
  <c r="W393" i="1" s="1"/>
  <c r="U394" i="1"/>
  <c r="W394" i="1" s="1"/>
  <c r="U395" i="1"/>
  <c r="W395" i="1" s="1"/>
  <c r="U396" i="1"/>
  <c r="U397" i="1"/>
  <c r="U398" i="1"/>
  <c r="U399" i="1"/>
  <c r="W399" i="1" s="1"/>
  <c r="U400" i="1"/>
  <c r="W400" i="1" s="1"/>
  <c r="U401" i="1"/>
  <c r="W401" i="1" s="1"/>
  <c r="U402" i="1"/>
  <c r="W402" i="1" s="1"/>
  <c r="U403" i="1"/>
  <c r="W403" i="1" s="1"/>
  <c r="U404" i="1"/>
  <c r="W404" i="1" s="1"/>
  <c r="U405" i="1"/>
  <c r="W405" i="1" s="1"/>
  <c r="U406" i="1"/>
  <c r="W406" i="1" s="1"/>
  <c r="U407" i="1"/>
  <c r="W407" i="1" s="1"/>
  <c r="U408" i="1"/>
  <c r="W408" i="1" s="1"/>
  <c r="U409" i="1"/>
  <c r="W409" i="1" s="1"/>
  <c r="U410" i="1"/>
  <c r="W410" i="1" s="1"/>
  <c r="U411" i="1"/>
  <c r="W411" i="1" s="1"/>
  <c r="U412" i="1"/>
  <c r="U413" i="1"/>
  <c r="U414" i="1"/>
  <c r="U415" i="1"/>
  <c r="W415" i="1" s="1"/>
  <c r="U416" i="1"/>
  <c r="W416" i="1" s="1"/>
  <c r="U417" i="1"/>
  <c r="W417" i="1" s="1"/>
  <c r="U418" i="1"/>
  <c r="W418" i="1" s="1"/>
  <c r="U419" i="1"/>
  <c r="W419" i="1" s="1"/>
  <c r="U420" i="1"/>
  <c r="W420" i="1" s="1"/>
  <c r="U421" i="1"/>
  <c r="W421" i="1" s="1"/>
  <c r="U422" i="1"/>
  <c r="W422" i="1" s="1"/>
  <c r="U423" i="1"/>
  <c r="W423" i="1" s="1"/>
  <c r="U424" i="1"/>
  <c r="W424" i="1" s="1"/>
  <c r="U425" i="1"/>
  <c r="W425" i="1" s="1"/>
  <c r="U426" i="1"/>
  <c r="W426" i="1" s="1"/>
  <c r="U427" i="1"/>
  <c r="W427" i="1" s="1"/>
  <c r="U428" i="1"/>
  <c r="U429" i="1"/>
  <c r="U430" i="1"/>
  <c r="U431" i="1"/>
  <c r="W431" i="1" s="1"/>
  <c r="U432" i="1"/>
  <c r="W432" i="1" s="1"/>
  <c r="U433" i="1"/>
  <c r="W433" i="1" s="1"/>
  <c r="U434" i="1"/>
  <c r="W434" i="1" s="1"/>
  <c r="U435" i="1"/>
  <c r="W435" i="1" s="1"/>
  <c r="U436" i="1"/>
  <c r="W436" i="1" s="1"/>
  <c r="U437" i="1"/>
  <c r="W437" i="1" s="1"/>
  <c r="U438" i="1"/>
  <c r="W438" i="1" s="1"/>
  <c r="U439" i="1"/>
  <c r="W439" i="1" s="1"/>
  <c r="U440" i="1"/>
  <c r="W440" i="1" s="1"/>
  <c r="U441" i="1"/>
  <c r="W441" i="1" s="1"/>
  <c r="U442" i="1"/>
  <c r="W442" i="1" s="1"/>
  <c r="U443" i="1"/>
  <c r="W443" i="1" s="1"/>
  <c r="U444" i="1"/>
  <c r="U445" i="1"/>
  <c r="U446" i="1"/>
  <c r="U447" i="1"/>
  <c r="W447" i="1" s="1"/>
  <c r="U448" i="1"/>
  <c r="W448" i="1" s="1"/>
  <c r="U449" i="1"/>
  <c r="W449" i="1" s="1"/>
  <c r="U450" i="1"/>
  <c r="W450" i="1" s="1"/>
  <c r="U451" i="1"/>
  <c r="W451" i="1" s="1"/>
  <c r="U452" i="1"/>
  <c r="W452" i="1" s="1"/>
  <c r="U453" i="1"/>
  <c r="W453" i="1" s="1"/>
  <c r="U454" i="1"/>
  <c r="W454" i="1" s="1"/>
  <c r="U455" i="1"/>
  <c r="W455" i="1" s="1"/>
  <c r="U456" i="1"/>
  <c r="W456" i="1" s="1"/>
  <c r="U457" i="1"/>
  <c r="W457" i="1" s="1"/>
  <c r="U458" i="1"/>
  <c r="W458" i="1" s="1"/>
  <c r="U459" i="1"/>
  <c r="W459" i="1" s="1"/>
  <c r="U460" i="1"/>
  <c r="U461" i="1"/>
  <c r="U462" i="1"/>
  <c r="U463" i="1"/>
  <c r="W463" i="1" s="1"/>
  <c r="U464" i="1"/>
  <c r="W464" i="1" s="1"/>
  <c r="U465" i="1"/>
  <c r="W465" i="1" s="1"/>
  <c r="U466" i="1"/>
  <c r="W466" i="1" s="1"/>
  <c r="U467" i="1"/>
  <c r="W467" i="1" s="1"/>
  <c r="U468" i="1"/>
  <c r="W468" i="1" s="1"/>
  <c r="U469" i="1"/>
  <c r="W469" i="1" s="1"/>
  <c r="U470" i="1"/>
  <c r="W470" i="1" s="1"/>
  <c r="U471" i="1"/>
  <c r="W471" i="1" s="1"/>
  <c r="U472" i="1"/>
  <c r="W472" i="1" s="1"/>
  <c r="U473" i="1"/>
  <c r="W473" i="1" s="1"/>
  <c r="U474" i="1"/>
  <c r="W474" i="1" s="1"/>
  <c r="U475" i="1"/>
  <c r="W475" i="1" s="1"/>
  <c r="U476" i="1"/>
  <c r="U477" i="1"/>
  <c r="U478" i="1"/>
  <c r="U479" i="1"/>
  <c r="W479" i="1" s="1"/>
  <c r="U480" i="1"/>
  <c r="W480" i="1" s="1"/>
  <c r="U481" i="1"/>
  <c r="W481" i="1" s="1"/>
  <c r="U482" i="1"/>
  <c r="W482" i="1" s="1"/>
  <c r="U483" i="1"/>
  <c r="W483" i="1" s="1"/>
  <c r="U484" i="1"/>
  <c r="W484" i="1" s="1"/>
  <c r="U485" i="1"/>
  <c r="W485" i="1" s="1"/>
  <c r="U486" i="1"/>
  <c r="W486" i="1" s="1"/>
  <c r="U487" i="1"/>
  <c r="W487" i="1" s="1"/>
  <c r="U488" i="1"/>
  <c r="W488" i="1" s="1"/>
  <c r="U489" i="1"/>
  <c r="W489" i="1" s="1"/>
  <c r="U490" i="1"/>
  <c r="W490" i="1" s="1"/>
  <c r="U491" i="1"/>
  <c r="W491" i="1" s="1"/>
  <c r="U492" i="1"/>
  <c r="U493" i="1"/>
  <c r="U494" i="1"/>
  <c r="U495" i="1"/>
  <c r="W495" i="1" s="1"/>
  <c r="U496" i="1"/>
  <c r="W496" i="1" s="1"/>
  <c r="U497" i="1"/>
  <c r="W497" i="1" s="1"/>
  <c r="U498" i="1"/>
  <c r="W498" i="1" s="1"/>
  <c r="U499" i="1"/>
  <c r="W499" i="1" s="1"/>
  <c r="U500" i="1"/>
  <c r="W500" i="1" s="1"/>
  <c r="U501" i="1"/>
  <c r="W501" i="1" s="1"/>
  <c r="U3" i="1"/>
  <c r="W3" i="1" s="1"/>
  <c r="U4" i="1"/>
  <c r="W4" i="1" s="1"/>
  <c r="U5" i="1"/>
  <c r="W5" i="1" s="1"/>
  <c r="U6" i="1"/>
  <c r="W6" i="1" s="1"/>
  <c r="U7" i="1"/>
  <c r="W7" i="1" s="1"/>
  <c r="U2" i="1"/>
  <c r="W2" i="1" s="1"/>
</calcChain>
</file>

<file path=xl/sharedStrings.xml><?xml version="1.0" encoding="utf-8"?>
<sst xmlns="http://schemas.openxmlformats.org/spreadsheetml/2006/main" count="5593" uniqueCount="593">
  <si>
    <t>BillNo</t>
  </si>
  <si>
    <t>Date</t>
  </si>
  <si>
    <t>MedicineName</t>
  </si>
  <si>
    <t>Category</t>
  </si>
  <si>
    <t>Brand</t>
  </si>
  <si>
    <t>Form</t>
  </si>
  <si>
    <t>Dosage</t>
  </si>
  <si>
    <t>Quantity</t>
  </si>
  <si>
    <t>PurchasePrice</t>
  </si>
  <si>
    <t>SellingPrice</t>
  </si>
  <si>
    <t>Discount</t>
  </si>
  <si>
    <t>GST</t>
  </si>
  <si>
    <t>PaymentMode</t>
  </si>
  <si>
    <t>CustomerGender</t>
  </si>
  <si>
    <t>CustomerAge</t>
  </si>
  <si>
    <t>City</t>
  </si>
  <si>
    <t>Employee</t>
  </si>
  <si>
    <t>Supplier</t>
  </si>
  <si>
    <t>BatchNo</t>
  </si>
  <si>
    <t>ExpiryDate</t>
  </si>
  <si>
    <t>Pantocid 40</t>
  </si>
  <si>
    <t>Gastric</t>
  </si>
  <si>
    <t>Sun Pharma</t>
  </si>
  <si>
    <t>Tablet</t>
  </si>
  <si>
    <t>40 mg</t>
  </si>
  <si>
    <t>UPI</t>
  </si>
  <si>
    <t>Male</t>
  </si>
  <si>
    <t>Hubballi</t>
  </si>
  <si>
    <t>Kiran</t>
  </si>
  <si>
    <t>Alkem</t>
  </si>
  <si>
    <t>B6889</t>
  </si>
  <si>
    <t>Augmentin 625</t>
  </si>
  <si>
    <t>Antibiotic</t>
  </si>
  <si>
    <t>GSK</t>
  </si>
  <si>
    <t>625 mg</t>
  </si>
  <si>
    <t>Card</t>
  </si>
  <si>
    <t>Tumakuru</t>
  </si>
  <si>
    <t>Anjali</t>
  </si>
  <si>
    <t>Cipla Distributor</t>
  </si>
  <si>
    <t>B5086</t>
  </si>
  <si>
    <t>Calpol 650</t>
  </si>
  <si>
    <t>Pain Relief</t>
  </si>
  <si>
    <t>650 mg</t>
  </si>
  <si>
    <t>Cash</t>
  </si>
  <si>
    <t>Female</t>
  </si>
  <si>
    <t>Mysuru</t>
  </si>
  <si>
    <t>B2151</t>
  </si>
  <si>
    <t>Becosules</t>
  </si>
  <si>
    <t>Vitamins</t>
  </si>
  <si>
    <t>Pfizer</t>
  </si>
  <si>
    <t>Capsule</t>
  </si>
  <si>
    <t>NA</t>
  </si>
  <si>
    <t>Bengaluru</t>
  </si>
  <si>
    <t>Ravi</t>
  </si>
  <si>
    <t>Abbott</t>
  </si>
  <si>
    <t>B1170</t>
  </si>
  <si>
    <t>Telma 40</t>
  </si>
  <si>
    <t>Blood Pressure</t>
  </si>
  <si>
    <t>Glenmark</t>
  </si>
  <si>
    <t>Manoj</t>
  </si>
  <si>
    <t>B3324</t>
  </si>
  <si>
    <t>Ecosprin 75</t>
  </si>
  <si>
    <t>Heart</t>
  </si>
  <si>
    <t>USV</t>
  </si>
  <si>
    <t>75 mg</t>
  </si>
  <si>
    <t>B2928</t>
  </si>
  <si>
    <t>Priya</t>
  </si>
  <si>
    <t>B7766</t>
  </si>
  <si>
    <t>B9821</t>
  </si>
  <si>
    <t>Evion 400</t>
  </si>
  <si>
    <t>Merck</t>
  </si>
  <si>
    <t>400 mg</t>
  </si>
  <si>
    <t>B4499</t>
  </si>
  <si>
    <t>B2949</t>
  </si>
  <si>
    <t>B5877</t>
  </si>
  <si>
    <t>Dolo 650</t>
  </si>
  <si>
    <t>Micro Labs</t>
  </si>
  <si>
    <t>B8387</t>
  </si>
  <si>
    <t>B7079</t>
  </si>
  <si>
    <t>Shelcal 500</t>
  </si>
  <si>
    <t>Calcium</t>
  </si>
  <si>
    <t>Torrent</t>
  </si>
  <si>
    <t>500 mg</t>
  </si>
  <si>
    <t>B7139</t>
  </si>
  <si>
    <t>Glycomet 500</t>
  </si>
  <si>
    <t>Diabetes</t>
  </si>
  <si>
    <t>Mankind Pharma</t>
  </si>
  <si>
    <t>B7408</t>
  </si>
  <si>
    <t>B6970</t>
  </si>
  <si>
    <t>B3454</t>
  </si>
  <si>
    <t>B7166</t>
  </si>
  <si>
    <t>B2226</t>
  </si>
  <si>
    <t>Limcee 500</t>
  </si>
  <si>
    <t>B5491</t>
  </si>
  <si>
    <t>B3245</t>
  </si>
  <si>
    <t>B4996</t>
  </si>
  <si>
    <t>B1525</t>
  </si>
  <si>
    <t>B5909</t>
  </si>
  <si>
    <t>Crocin Advance</t>
  </si>
  <si>
    <t>B4394</t>
  </si>
  <si>
    <t>B7310</t>
  </si>
  <si>
    <t>B3526</t>
  </si>
  <si>
    <t>B8628</t>
  </si>
  <si>
    <t>B2221</t>
  </si>
  <si>
    <t>B2493</t>
  </si>
  <si>
    <t>Montek LC</t>
  </si>
  <si>
    <t>Allergy</t>
  </si>
  <si>
    <t>B6931</t>
  </si>
  <si>
    <t>Azee 500</t>
  </si>
  <si>
    <t>Cipla</t>
  </si>
  <si>
    <t>B2081</t>
  </si>
  <si>
    <t>B5784</t>
  </si>
  <si>
    <t>B2716</t>
  </si>
  <si>
    <t>B6637</t>
  </si>
  <si>
    <t>B7953</t>
  </si>
  <si>
    <t>B6438</t>
  </si>
  <si>
    <t>B8632</t>
  </si>
  <si>
    <t>B3747</t>
  </si>
  <si>
    <t>B7663</t>
  </si>
  <si>
    <t>B2012</t>
  </si>
  <si>
    <t>B1867</t>
  </si>
  <si>
    <t>B9320</t>
  </si>
  <si>
    <t>B4936</t>
  </si>
  <si>
    <t>B4110</t>
  </si>
  <si>
    <t>B6476</t>
  </si>
  <si>
    <t>B8925</t>
  </si>
  <si>
    <t>B6547</t>
  </si>
  <si>
    <t>B5210</t>
  </si>
  <si>
    <t>B5180</t>
  </si>
  <si>
    <t>B4179</t>
  </si>
  <si>
    <t>B8171</t>
  </si>
  <si>
    <t>B8428</t>
  </si>
  <si>
    <t>B7123</t>
  </si>
  <si>
    <t>B4488</t>
  </si>
  <si>
    <t>Pan-D</t>
  </si>
  <si>
    <t>B2283</t>
  </si>
  <si>
    <t>B1712</t>
  </si>
  <si>
    <t>B8965</t>
  </si>
  <si>
    <t>B7407</t>
  </si>
  <si>
    <t>B1508</t>
  </si>
  <si>
    <t>B3167</t>
  </si>
  <si>
    <t>B6206</t>
  </si>
  <si>
    <t>B2281</t>
  </si>
  <si>
    <t>B2345</t>
  </si>
  <si>
    <t>B7129</t>
  </si>
  <si>
    <t>B1281</t>
  </si>
  <si>
    <t>B9832</t>
  </si>
  <si>
    <t>B8090</t>
  </si>
  <si>
    <t>B7475</t>
  </si>
  <si>
    <t>B2935</t>
  </si>
  <si>
    <t>B9913</t>
  </si>
  <si>
    <t>B9027</t>
  </si>
  <si>
    <t>B7072</t>
  </si>
  <si>
    <t>B7555</t>
  </si>
  <si>
    <t>B8302</t>
  </si>
  <si>
    <t>B1137</t>
  </si>
  <si>
    <t>B7712</t>
  </si>
  <si>
    <t>B8832</t>
  </si>
  <si>
    <t>B2491</t>
  </si>
  <si>
    <t>B4346</t>
  </si>
  <si>
    <t>B1814</t>
  </si>
  <si>
    <t>B9280</t>
  </si>
  <si>
    <t>B8695</t>
  </si>
  <si>
    <t>B9775</t>
  </si>
  <si>
    <t>B2939</t>
  </si>
  <si>
    <t>B8323</t>
  </si>
  <si>
    <t>B8889</t>
  </si>
  <si>
    <t>B4196</t>
  </si>
  <si>
    <t>B2732</t>
  </si>
  <si>
    <t>B9467</t>
  </si>
  <si>
    <t>B1121</t>
  </si>
  <si>
    <t>B2602</t>
  </si>
  <si>
    <t>B9627</t>
  </si>
  <si>
    <t>B3784</t>
  </si>
  <si>
    <t>B4918</t>
  </si>
  <si>
    <t>B7365</t>
  </si>
  <si>
    <t>B2724</t>
  </si>
  <si>
    <t>B2059</t>
  </si>
  <si>
    <t>B5958</t>
  </si>
  <si>
    <t>B9553</t>
  </si>
  <si>
    <t>B4519</t>
  </si>
  <si>
    <t>B6164</t>
  </si>
  <si>
    <t>B8328</t>
  </si>
  <si>
    <t>B2499</t>
  </si>
  <si>
    <t>B1780</t>
  </si>
  <si>
    <t>B3079</t>
  </si>
  <si>
    <t>B5756</t>
  </si>
  <si>
    <t>B5113</t>
  </si>
  <si>
    <t>B7631</t>
  </si>
  <si>
    <t>B2216</t>
  </si>
  <si>
    <t>B9236</t>
  </si>
  <si>
    <t>B1745</t>
  </si>
  <si>
    <t>B9521</t>
  </si>
  <si>
    <t>B2089</t>
  </si>
  <si>
    <t>B5403</t>
  </si>
  <si>
    <t>B3610</t>
  </si>
  <si>
    <t>B2005</t>
  </si>
  <si>
    <t>B3527</t>
  </si>
  <si>
    <t>B2842</t>
  </si>
  <si>
    <t>B8002</t>
  </si>
  <si>
    <t>B8850</t>
  </si>
  <si>
    <t>B9766</t>
  </si>
  <si>
    <t>B1446</t>
  </si>
  <si>
    <t>B7380</t>
  </si>
  <si>
    <t>B3906</t>
  </si>
  <si>
    <t>B3736</t>
  </si>
  <si>
    <t>B3192</t>
  </si>
  <si>
    <t>B3703</t>
  </si>
  <si>
    <t>B3979</t>
  </si>
  <si>
    <t>B7961</t>
  </si>
  <si>
    <t>B4927</t>
  </si>
  <si>
    <t>B7005</t>
  </si>
  <si>
    <t>B5721</t>
  </si>
  <si>
    <t>B2294</t>
  </si>
  <si>
    <t>B4290</t>
  </si>
  <si>
    <t>B3024</t>
  </si>
  <si>
    <t>B7815</t>
  </si>
  <si>
    <t>B6750</t>
  </si>
  <si>
    <t>B2863</t>
  </si>
  <si>
    <t>B8631</t>
  </si>
  <si>
    <t>B7596</t>
  </si>
  <si>
    <t>B6147</t>
  </si>
  <si>
    <t>B7959</t>
  </si>
  <si>
    <t>B3597</t>
  </si>
  <si>
    <t>B5514</t>
  </si>
  <si>
    <t>B6667</t>
  </si>
  <si>
    <t>B7783</t>
  </si>
  <si>
    <t>B4916</t>
  </si>
  <si>
    <t>B7374</t>
  </si>
  <si>
    <t>B6372</t>
  </si>
  <si>
    <t>B1923</t>
  </si>
  <si>
    <t>B1660</t>
  </si>
  <si>
    <t>B7490</t>
  </si>
  <si>
    <t>B8409</t>
  </si>
  <si>
    <t>B6633</t>
  </si>
  <si>
    <t>B5896</t>
  </si>
  <si>
    <t>B6669</t>
  </si>
  <si>
    <t>B5219</t>
  </si>
  <si>
    <t>B3119</t>
  </si>
  <si>
    <t>B4740</t>
  </si>
  <si>
    <t>B9745</t>
  </si>
  <si>
    <t>B5016</t>
  </si>
  <si>
    <t>B4998</t>
  </si>
  <si>
    <t>B3191</t>
  </si>
  <si>
    <t>B4892</t>
  </si>
  <si>
    <t>B2229</t>
  </si>
  <si>
    <t>B5698</t>
  </si>
  <si>
    <t>B8842</t>
  </si>
  <si>
    <t>B5254</t>
  </si>
  <si>
    <t>B1969</t>
  </si>
  <si>
    <t>B8103</t>
  </si>
  <si>
    <t>B8066</t>
  </si>
  <si>
    <t>B1219</t>
  </si>
  <si>
    <t>B5505</t>
  </si>
  <si>
    <t>B6964</t>
  </si>
  <si>
    <t>B7255</t>
  </si>
  <si>
    <t>B8025</t>
  </si>
  <si>
    <t>B9076</t>
  </si>
  <si>
    <t>B1572</t>
  </si>
  <si>
    <t>B6897</t>
  </si>
  <si>
    <t>B1737</t>
  </si>
  <si>
    <t>B6859</t>
  </si>
  <si>
    <t>B2810</t>
  </si>
  <si>
    <t>B5799</t>
  </si>
  <si>
    <t>B5719</t>
  </si>
  <si>
    <t>B6143</t>
  </si>
  <si>
    <t>B9216</t>
  </si>
  <si>
    <t>B1290</t>
  </si>
  <si>
    <t>B8916</t>
  </si>
  <si>
    <t>B1879</t>
  </si>
  <si>
    <t>B6294</t>
  </si>
  <si>
    <t>B4562</t>
  </si>
  <si>
    <t>B4136</t>
  </si>
  <si>
    <t>B3199</t>
  </si>
  <si>
    <t>B9575</t>
  </si>
  <si>
    <t>B8019</t>
  </si>
  <si>
    <t>B1546</t>
  </si>
  <si>
    <t>B2656</t>
  </si>
  <si>
    <t>B9033</t>
  </si>
  <si>
    <t>B3003</t>
  </si>
  <si>
    <t>B4709</t>
  </si>
  <si>
    <t>B2399</t>
  </si>
  <si>
    <t>B6067</t>
  </si>
  <si>
    <t>B3557</t>
  </si>
  <si>
    <t>B5126</t>
  </si>
  <si>
    <t>B9711</t>
  </si>
  <si>
    <t>B2315</t>
  </si>
  <si>
    <t>B9632</t>
  </si>
  <si>
    <t>B1775</t>
  </si>
  <si>
    <t>B3777</t>
  </si>
  <si>
    <t>B1744</t>
  </si>
  <si>
    <t>B4545</t>
  </si>
  <si>
    <t>B2914</t>
  </si>
  <si>
    <t>B1757</t>
  </si>
  <si>
    <t>B7489</t>
  </si>
  <si>
    <t>B2535</t>
  </si>
  <si>
    <t>B5106</t>
  </si>
  <si>
    <t>B2319</t>
  </si>
  <si>
    <t>B7017</t>
  </si>
  <si>
    <t>B4831</t>
  </si>
  <si>
    <t>B1451</t>
  </si>
  <si>
    <t>B9702</t>
  </si>
  <si>
    <t>B3402</t>
  </si>
  <si>
    <t>B4430</t>
  </si>
  <si>
    <t>B9794</t>
  </si>
  <si>
    <t>B2540</t>
  </si>
  <si>
    <t>B8578</t>
  </si>
  <si>
    <t>B3860</t>
  </si>
  <si>
    <t>B7379</t>
  </si>
  <si>
    <t>B6999</t>
  </si>
  <si>
    <t>B4254</t>
  </si>
  <si>
    <t>B7226</t>
  </si>
  <si>
    <t>B8995</t>
  </si>
  <si>
    <t>B2881</t>
  </si>
  <si>
    <t>B5138</t>
  </si>
  <si>
    <t>B2157</t>
  </si>
  <si>
    <t>B2299</t>
  </si>
  <si>
    <t>B8931</t>
  </si>
  <si>
    <t>B3608</t>
  </si>
  <si>
    <t>B5837</t>
  </si>
  <si>
    <t>B4336</t>
  </si>
  <si>
    <t>B3010</t>
  </si>
  <si>
    <t>B4886</t>
  </si>
  <si>
    <t>B1908</t>
  </si>
  <si>
    <t>B5544</t>
  </si>
  <si>
    <t>B8820</t>
  </si>
  <si>
    <t>B2264</t>
  </si>
  <si>
    <t>B1487</t>
  </si>
  <si>
    <t>B7874</t>
  </si>
  <si>
    <t>B1039</t>
  </si>
  <si>
    <t>B7906</t>
  </si>
  <si>
    <t>B1522</t>
  </si>
  <si>
    <t>B5017</t>
  </si>
  <si>
    <t>B4540</t>
  </si>
  <si>
    <t>B9976</t>
  </si>
  <si>
    <t>B4340</t>
  </si>
  <si>
    <t>B8612</t>
  </si>
  <si>
    <t>B5487</t>
  </si>
  <si>
    <t>B5291</t>
  </si>
  <si>
    <t>B9137</t>
  </si>
  <si>
    <t>B7996</t>
  </si>
  <si>
    <t>B9172</t>
  </si>
  <si>
    <t>B8256</t>
  </si>
  <si>
    <t>B2310</t>
  </si>
  <si>
    <t>B1954</t>
  </si>
  <si>
    <t>B1913</t>
  </si>
  <si>
    <t>B6405</t>
  </si>
  <si>
    <t>B2995</t>
  </si>
  <si>
    <t>B7899</t>
  </si>
  <si>
    <t>B8892</t>
  </si>
  <si>
    <t>B3170</t>
  </si>
  <si>
    <t>B8132</t>
  </si>
  <si>
    <t>B7803</t>
  </si>
  <si>
    <t>B9140</t>
  </si>
  <si>
    <t>B7591</t>
  </si>
  <si>
    <t>B5447</t>
  </si>
  <si>
    <t>B3993</t>
  </si>
  <si>
    <t>B4225</t>
  </si>
  <si>
    <t>B4378</t>
  </si>
  <si>
    <t>B2246</t>
  </si>
  <si>
    <t>B6779</t>
  </si>
  <si>
    <t>B7000</t>
  </si>
  <si>
    <t>B7233</t>
  </si>
  <si>
    <t>B6571</t>
  </si>
  <si>
    <t>B8488</t>
  </si>
  <si>
    <t>B9522</t>
  </si>
  <si>
    <t>B8583</t>
  </si>
  <si>
    <t>B1568</t>
  </si>
  <si>
    <t>B3128</t>
  </si>
  <si>
    <t>B4218</t>
  </si>
  <si>
    <t>B3438</t>
  </si>
  <si>
    <t>B2456</t>
  </si>
  <si>
    <t>B2321</t>
  </si>
  <si>
    <t>B8005</t>
  </si>
  <si>
    <t>B2756</t>
  </si>
  <si>
    <t>B3060</t>
  </si>
  <si>
    <t>B3082</t>
  </si>
  <si>
    <t>B4756</t>
  </si>
  <si>
    <t>B8639</t>
  </si>
  <si>
    <t>B6629</t>
  </si>
  <si>
    <t>B2846</t>
  </si>
  <si>
    <t>B3740</t>
  </si>
  <si>
    <t>B7384</t>
  </si>
  <si>
    <t>B9649</t>
  </si>
  <si>
    <t>B6927</t>
  </si>
  <si>
    <t>B7564</t>
  </si>
  <si>
    <t>B3763</t>
  </si>
  <si>
    <t>B8874</t>
  </si>
  <si>
    <t>B6561</t>
  </si>
  <si>
    <t>B3821</t>
  </si>
  <si>
    <t>B3055</t>
  </si>
  <si>
    <t>B1265</t>
  </si>
  <si>
    <t>B9757</t>
  </si>
  <si>
    <t>B1922</t>
  </si>
  <si>
    <t>B4057</t>
  </si>
  <si>
    <t>B9413</t>
  </si>
  <si>
    <t>B9459</t>
  </si>
  <si>
    <t>B9181</t>
  </si>
  <si>
    <t>B4547</t>
  </si>
  <si>
    <t>B1731</t>
  </si>
  <si>
    <t>B9878</t>
  </si>
  <si>
    <t>B1404</t>
  </si>
  <si>
    <t>B4616</t>
  </si>
  <si>
    <t>B6458</t>
  </si>
  <si>
    <t>B4497</t>
  </si>
  <si>
    <t>B9277</t>
  </si>
  <si>
    <t>B1325</t>
  </si>
  <si>
    <t>B8149</t>
  </si>
  <si>
    <t>B9906</t>
  </si>
  <si>
    <t>B8990</t>
  </si>
  <si>
    <t>B7580</t>
  </si>
  <si>
    <t>B9734</t>
  </si>
  <si>
    <t>B3064</t>
  </si>
  <si>
    <t>B8275</t>
  </si>
  <si>
    <t>B8239</t>
  </si>
  <si>
    <t>B7825</t>
  </si>
  <si>
    <t>B9376</t>
  </si>
  <si>
    <t>B5070</t>
  </si>
  <si>
    <t>B5125</t>
  </si>
  <si>
    <t>B4020</t>
  </si>
  <si>
    <t>B6690</t>
  </si>
  <si>
    <t>B9847</t>
  </si>
  <si>
    <t>B8758</t>
  </si>
  <si>
    <t>B5879</t>
  </si>
  <si>
    <t>B4104</t>
  </si>
  <si>
    <t>B8966</t>
  </si>
  <si>
    <t>B7014</t>
  </si>
  <si>
    <t>B7635</t>
  </si>
  <si>
    <t>B1243</t>
  </si>
  <si>
    <t>B4716</t>
  </si>
  <si>
    <t>B3931</t>
  </si>
  <si>
    <t>B1244</t>
  </si>
  <si>
    <t>B9955</t>
  </si>
  <si>
    <t>B9439</t>
  </si>
  <si>
    <t>B9631</t>
  </si>
  <si>
    <t>B3091</t>
  </si>
  <si>
    <t>B3227</t>
  </si>
  <si>
    <t>B8673</t>
  </si>
  <si>
    <t>B5139</t>
  </si>
  <si>
    <t>B7558</t>
  </si>
  <si>
    <t>B6388</t>
  </si>
  <si>
    <t>B3409</t>
  </si>
  <si>
    <t>B8661</t>
  </si>
  <si>
    <t>B4884</t>
  </si>
  <si>
    <t>B7949</t>
  </si>
  <si>
    <t>B1776</t>
  </si>
  <si>
    <t>B5827</t>
  </si>
  <si>
    <t>B3966</t>
  </si>
  <si>
    <t>B2219</t>
  </si>
  <si>
    <t>B2057</t>
  </si>
  <si>
    <t>B7574</t>
  </si>
  <si>
    <t>B5530</t>
  </si>
  <si>
    <t>B4248</t>
  </si>
  <si>
    <t>B9764</t>
  </si>
  <si>
    <t>B9532</t>
  </si>
  <si>
    <t>B4186</t>
  </si>
  <si>
    <t>B7682</t>
  </si>
  <si>
    <t>B6741</t>
  </si>
  <si>
    <t>B3098</t>
  </si>
  <si>
    <t>B4173</t>
  </si>
  <si>
    <t>B2071</t>
  </si>
  <si>
    <t>B4038</t>
  </si>
  <si>
    <t>B3310</t>
  </si>
  <si>
    <t>B3463</t>
  </si>
  <si>
    <t>B8110</t>
  </si>
  <si>
    <t>B1629</t>
  </si>
  <si>
    <t>B9342</t>
  </si>
  <si>
    <t>B4580</t>
  </si>
  <si>
    <t>B1577</t>
  </si>
  <si>
    <t>B9184</t>
  </si>
  <si>
    <t>B8912</t>
  </si>
  <si>
    <t>B4220</t>
  </si>
  <si>
    <t>B7932</t>
  </si>
  <si>
    <t>B1259</t>
  </si>
  <si>
    <t>B6033</t>
  </si>
  <si>
    <t>B5542</t>
  </si>
  <si>
    <t>B1991</t>
  </si>
  <si>
    <t>B1787</t>
  </si>
  <si>
    <t>B9254</t>
  </si>
  <si>
    <t>B9189</t>
  </si>
  <si>
    <t>B6357</t>
  </si>
  <si>
    <t>B2616</t>
  </si>
  <si>
    <t>B2029</t>
  </si>
  <si>
    <t>B5000</t>
  </si>
  <si>
    <t>B3729</t>
  </si>
  <si>
    <t>B8319</t>
  </si>
  <si>
    <t>B2341</t>
  </si>
  <si>
    <t>B1448</t>
  </si>
  <si>
    <t>B1494</t>
  </si>
  <si>
    <t>B6666</t>
  </si>
  <si>
    <t>B5555</t>
  </si>
  <si>
    <t>B7249</t>
  </si>
  <si>
    <t>B5985</t>
  </si>
  <si>
    <t>B8823</t>
  </si>
  <si>
    <t>B6922</t>
  </si>
  <si>
    <t>B2583</t>
  </si>
  <si>
    <t>B3327</t>
  </si>
  <si>
    <t>B6413</t>
  </si>
  <si>
    <t>B1354</t>
  </si>
  <si>
    <t>B7133</t>
  </si>
  <si>
    <t>B6433</t>
  </si>
  <si>
    <t>B1159</t>
  </si>
  <si>
    <t>B4521</t>
  </si>
  <si>
    <t>B9242</t>
  </si>
  <si>
    <t>B2774</t>
  </si>
  <si>
    <t>B2179</t>
  </si>
  <si>
    <t>B7850</t>
  </si>
  <si>
    <t>B7021</t>
  </si>
  <si>
    <t>B1467</t>
  </si>
  <si>
    <t>B8761</t>
  </si>
  <si>
    <t>B7900</t>
  </si>
  <si>
    <t>B1985</t>
  </si>
  <si>
    <t>B3349</t>
  </si>
  <si>
    <t>B4360</t>
  </si>
  <si>
    <t>B6524</t>
  </si>
  <si>
    <t>B5173</t>
  </si>
  <si>
    <t>B8283</t>
  </si>
  <si>
    <t>B7295</t>
  </si>
  <si>
    <t>B7695</t>
  </si>
  <si>
    <t>B4832</t>
  </si>
  <si>
    <t>B5570</t>
  </si>
  <si>
    <t>B3900</t>
  </si>
  <si>
    <t>B1049</t>
  </si>
  <si>
    <t>B9715</t>
  </si>
  <si>
    <t>B8106</t>
  </si>
  <si>
    <t>B3981</t>
  </si>
  <si>
    <t>B2600</t>
  </si>
  <si>
    <t>B3600</t>
  </si>
  <si>
    <t>B2953</t>
  </si>
  <si>
    <t>B6207</t>
  </si>
  <si>
    <t>B7786</t>
  </si>
  <si>
    <t>B8455</t>
  </si>
  <si>
    <t>B6646</t>
  </si>
  <si>
    <t>B4780</t>
  </si>
  <si>
    <t>B2743</t>
  </si>
  <si>
    <t>B8882</t>
  </si>
  <si>
    <t>B9557</t>
  </si>
  <si>
    <t>B1955</t>
  </si>
  <si>
    <t>B3065</t>
  </si>
  <si>
    <t>B9240</t>
  </si>
  <si>
    <t>B2855</t>
  </si>
  <si>
    <t>B7020</t>
  </si>
  <si>
    <t>B9101</t>
  </si>
  <si>
    <t>B1266</t>
  </si>
  <si>
    <t>B2753</t>
  </si>
  <si>
    <t>B4093</t>
  </si>
  <si>
    <t>B4086</t>
  </si>
  <si>
    <t>B3231</t>
  </si>
  <si>
    <t>B4310</t>
  </si>
  <si>
    <t>B2643</t>
  </si>
  <si>
    <t>B3131</t>
  </si>
  <si>
    <t>B3421</t>
  </si>
  <si>
    <t>B3846</t>
  </si>
  <si>
    <t>B4468</t>
  </si>
  <si>
    <t>B5648</t>
  </si>
  <si>
    <t>B9368</t>
  </si>
  <si>
    <t>B8197</t>
  </si>
  <si>
    <t>B5510</t>
  </si>
  <si>
    <t>B4048</t>
  </si>
  <si>
    <t>B7777</t>
  </si>
  <si>
    <t>B1280</t>
  </si>
  <si>
    <t>B8109</t>
  </si>
  <si>
    <t>B4999</t>
  </si>
  <si>
    <t>B2067</t>
  </si>
  <si>
    <t>B4249</t>
  </si>
  <si>
    <t>B2225</t>
  </si>
  <si>
    <t>B5454</t>
  </si>
  <si>
    <t>YEAR</t>
  </si>
  <si>
    <t>REVENUE</t>
  </si>
  <si>
    <t>COST</t>
  </si>
  <si>
    <t>MONTH</t>
  </si>
  <si>
    <t>PROFIT</t>
  </si>
  <si>
    <t>PROFIT PERCENTAGE</t>
  </si>
  <si>
    <t>Sum of REVENUE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</si>
  <si>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</si>
  <si>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</si>
  <si>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</si>
  <si>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</si>
  <si>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</si>
  <si>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</si>
  <si>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</si>
  <si>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</si>
  <si>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</si>
  <si>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</si>
  <si>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</si>
  <si>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</si>
  <si>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</si>
  <si>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MEDICINE NAME</t>
  </si>
  <si>
    <t>MONTHS</t>
  </si>
  <si>
    <t>PAYMENT MODE</t>
  </si>
  <si>
    <t>EMPLOYEE</t>
  </si>
  <si>
    <t>SUPPLIER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</si>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</sst>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 Prada" refreshedDate="46233.001407060183" createdVersion="8" refreshedVersion="8" minRefreshableVersion="3" recordCount="500" xr:uid="{F711BF66-170E-48D9-A8D0-857646EC8C1F}">
  <cacheSource type="worksheet">
    <worksheetSource ref="A1:Z501" sheet="MedicalShopSales"/>
  </cacheSource>
  <cacheFields count="28">
    <cacheField name="BillNo" numFmtId="1">
      <sharedItems containsSemiMixedTypes="0" containsString="0" containsNumber="1" containsInteger="1" minValue="1002" maxValue="1501"/>
    </cacheField>
    <cacheField name="Date" numFmtId="14">
      <sharedItems containsSemiMixedTypes="0" containsNonDate="0" containsDate="1" containsString="0" minDate="2025-01-01T00:00:00" maxDate="2025-12-31T00:00:00" count="277">
        <d v="2025-07-13T00:00:00"/>
        <d v="2025-04-20T00:00:00"/>
        <d v="2025-07-01T00:00:00"/>
        <d v="2025-09-25T00:00:00"/>
        <d v="2025-02-26T00:00:00"/>
        <d v="2025-10-14T00:00:00"/>
        <d v="2025-07-11T00:00:00"/>
        <d v="2025-10-18T00:00:00"/>
        <d v="2025-07-23T00:00:00"/>
        <d v="2025-12-04T00:00:00"/>
        <d v="2025-06-25T00:00:00"/>
        <d v="2025-07-14T00:00:00"/>
        <d v="2025-04-22T00:00:00"/>
        <d v="2025-09-15T00:00:00"/>
        <d v="2025-05-03T00:00:00"/>
        <d v="2025-04-29T00:00:00"/>
        <d v="2025-02-21T00:00:00"/>
        <d v="2025-03-29T00:00:00"/>
        <d v="2025-01-10T00:00:00"/>
        <d v="2025-04-13T00:00:00"/>
        <d v="2025-07-10T00:00:00"/>
        <d v="2025-06-17T00:00:00"/>
        <d v="2025-11-22T00:00:00"/>
        <d v="2025-01-04T00:00:00"/>
        <d v="2025-07-06T00:00:00"/>
        <d v="2025-05-20T00:00:00"/>
        <d v="2025-03-26T00:00:00"/>
        <d v="2025-01-08T00:00:00"/>
        <d v="2025-06-02T00:00:00"/>
        <d v="2025-05-19T00:00:00"/>
        <d v="2025-05-10T00:00:00"/>
        <d v="2025-01-16T00:00:00"/>
        <d v="2025-07-26T00:00:00"/>
        <d v="2025-03-16T00:00:00"/>
        <d v="2025-12-23T00:00:00"/>
        <d v="2025-01-18T00:00:00"/>
        <d v="2025-02-08T00:00:00"/>
        <d v="2025-03-17T00:00:00"/>
        <d v="2025-08-12T00:00:00"/>
        <d v="2025-11-08T00:00:00"/>
        <d v="2025-11-21T00:00:00"/>
        <d v="2025-09-13T00:00:00"/>
        <d v="2025-02-12T00:00:00"/>
        <d v="2025-07-02T00:00:00"/>
        <d v="2025-04-30T00:00:00"/>
        <d v="2025-08-08T00:00:00"/>
        <d v="2025-03-19T00:00:00"/>
        <d v="2025-03-21T00:00:00"/>
        <d v="2025-12-01T00:00:00"/>
        <d v="2025-04-18T00:00:00"/>
        <d v="2025-03-01T00:00:00"/>
        <d v="2025-04-19T00:00:00"/>
        <d v="2025-03-13T00:00:00"/>
        <d v="2025-06-04T00:00:00"/>
        <d v="2025-02-13T00:00:00"/>
        <d v="2025-07-29T00:00:00"/>
        <d v="2025-11-02T00:00:00"/>
        <d v="2025-04-24T00:00:00"/>
        <d v="2025-10-24T00:00:00"/>
        <d v="2025-06-03T00:00:00"/>
        <d v="2025-01-20T00:00:00"/>
        <d v="2025-06-10T00:00:00"/>
        <d v="2025-11-29T00:00:00"/>
        <d v="2025-10-06T00:00:00"/>
        <d v="2025-10-26T00:00:00"/>
        <d v="2025-09-19T00:00:00"/>
        <d v="2025-09-08T00:00:00"/>
        <d v="2025-05-22T00:00:00"/>
        <d v="2025-12-05T00:00:00"/>
        <d v="2025-05-08T00:00:00"/>
        <d v="2025-08-04T00:00:00"/>
        <d v="2025-02-22T00:00:00"/>
        <d v="2025-09-09T00:00:00"/>
        <d v="2025-12-08T00:00:00"/>
        <d v="2025-10-07T00:00:00"/>
        <d v="2025-01-09T00:00:00"/>
        <d v="2025-08-10T00:00:00"/>
        <d v="2025-09-01T00:00:00"/>
        <d v="2025-07-20T00:00:00"/>
        <d v="2025-12-14T00:00:00"/>
        <d v="2025-10-25T00:00:00"/>
        <d v="2025-01-31T00:00:00"/>
        <d v="2025-08-21T00:00:00"/>
        <d v="2025-09-23T00:00:00"/>
        <d v="2025-07-19T00:00:00"/>
        <d v="2025-09-20T00:00:00"/>
        <d v="2025-02-18T00:00:00"/>
        <d v="2025-04-21T00:00:00"/>
        <d v="2025-03-20T00:00:00"/>
        <d v="2025-12-22T00:00:00"/>
        <d v="2025-02-06T00:00:00"/>
        <d v="2025-05-06T00:00:00"/>
        <d v="2025-01-23T00:00:00"/>
        <d v="2025-02-27T00:00:00"/>
        <d v="2025-06-09T00:00:00"/>
        <d v="2025-04-03T00:00:00"/>
        <d v="2025-03-07T00:00:00"/>
        <d v="2025-04-14T00:00:00"/>
        <d v="2025-07-15T00:00:00"/>
        <d v="2025-05-27T00:00:00"/>
        <d v="2025-11-23T00:00:00"/>
        <d v="2025-10-17T00:00:00"/>
        <d v="2025-02-19T00:00:00"/>
        <d v="2025-08-25T00:00:00"/>
        <d v="2025-04-05T00:00:00"/>
        <d v="2025-12-21T00:00:00"/>
        <d v="2025-04-28T00:00:00"/>
        <d v="2025-03-09T00:00:00"/>
        <d v="2025-11-19T00:00:00"/>
        <d v="2025-11-15T00:00:00"/>
        <d v="2025-10-19T00:00:00"/>
        <d v="2025-05-29T00:00:00"/>
        <d v="2025-01-24T00:00:00"/>
        <d v="2025-07-24T00:00:00"/>
        <d v="2025-07-12T00:00:00"/>
        <d v="2025-01-11T00:00:00"/>
        <d v="2025-01-30T00:00:00"/>
        <d v="2025-06-28T00:00:00"/>
        <d v="2025-05-26T00:00:00"/>
        <d v="2025-06-11T00:00:00"/>
        <d v="2025-10-28T00:00:00"/>
        <d v="2025-09-22T00:00:00"/>
        <d v="2025-11-28T00:00:00"/>
        <d v="2025-09-26T00:00:00"/>
        <d v="2025-03-11T00:00:00"/>
        <d v="2025-02-02T00:00:00"/>
        <d v="2025-07-07T00:00:00"/>
        <d v="2025-03-25T00:00:00"/>
        <d v="2025-01-06T00:00:00"/>
        <d v="2025-10-20T00:00:00"/>
        <d v="2025-07-16T00:00:00"/>
        <d v="2025-05-05T00:00:00"/>
        <d v="2025-01-29T00:00:00"/>
        <d v="2025-12-02T00:00:00"/>
        <d v="2025-02-16T00:00:00"/>
        <d v="2025-05-17T00:00:00"/>
        <d v="2025-01-07T00:00:00"/>
        <d v="2025-10-15T00:00:00"/>
        <d v="2025-09-02T00:00:00"/>
        <d v="2025-12-09T00:00:00"/>
        <d v="2025-11-06T00:00:00"/>
        <d v="2025-08-28T00:00:00"/>
        <d v="2025-03-24T00:00:00"/>
        <d v="2025-06-05T00:00:00"/>
        <d v="2025-07-22T00:00:00"/>
        <d v="2025-04-09T00:00:00"/>
        <d v="2025-03-18T00:00:00"/>
        <d v="2025-08-05T00:00:00"/>
        <d v="2025-09-14T00:00:00"/>
        <d v="2025-03-06T00:00:00"/>
        <d v="2025-06-15T00:00:00"/>
        <d v="2025-12-15T00:00:00"/>
        <d v="2025-11-25T00:00:00"/>
        <d v="2025-09-27T00:00:00"/>
        <d v="2025-11-04T00:00:00"/>
        <d v="2025-03-10T00:00:00"/>
        <d v="2025-11-17T00:00:00"/>
        <d v="2025-09-16T00:00:00"/>
        <d v="2025-02-20T00:00:00"/>
        <d v="2025-08-30T00:00:00"/>
        <d v="2025-12-16T00:00:00"/>
        <d v="2025-05-18T00:00:00"/>
        <d v="2025-02-09T00:00:00"/>
        <d v="2025-09-12T00:00:00"/>
        <d v="2025-11-01T00:00:00"/>
        <d v="2025-09-28T00:00:00"/>
        <d v="2025-12-29T00:00:00"/>
        <d v="2025-07-21T00:00:00"/>
        <d v="2025-04-10T00:00:00"/>
        <d v="2025-12-26T00:00:00"/>
        <d v="2025-04-12T00:00:00"/>
        <d v="2025-04-01T00:00:00"/>
        <d v="2025-03-14T00:00:00"/>
        <d v="2025-02-04T00:00:00"/>
        <d v="2025-05-14T00:00:00"/>
        <d v="2025-05-24T00:00:00"/>
        <d v="2025-11-18T00:00:00"/>
        <d v="2025-12-25T00:00:00"/>
        <d v="2025-03-30T00:00:00"/>
        <d v="2025-07-18T00:00:00"/>
        <d v="2025-02-23T00:00:00"/>
        <d v="2025-06-08T00:00:00"/>
        <d v="2025-07-04T00:00:00"/>
        <d v="2025-12-13T00:00:00"/>
        <d v="2025-06-29T00:00:00"/>
        <d v="2025-08-16T00:00:00"/>
        <d v="2025-08-07T00:00:00"/>
        <d v="2025-08-27T00:00:00"/>
        <d v="2025-10-27T00:00:00"/>
        <d v="2025-08-02T00:00:00"/>
        <d v="2025-09-24T00:00:00"/>
        <d v="2025-11-20T00:00:00"/>
        <d v="2025-11-11T00:00:00"/>
        <d v="2025-02-01T00:00:00"/>
        <d v="2025-05-23T00:00:00"/>
        <d v="2025-07-27T00:00:00"/>
        <d v="2025-05-25T00:00:00"/>
        <d v="2025-08-19T00:00:00"/>
        <d v="2025-11-10T00:00:00"/>
        <d v="2025-10-04T00:00:00"/>
        <d v="2025-05-01T00:00:00"/>
        <d v="2025-12-10T00:00:00"/>
        <d v="2025-08-18T00:00:00"/>
        <d v="2025-08-29T00:00:00"/>
        <d v="2025-12-11T00:00:00"/>
        <d v="2025-08-20T00:00:00"/>
        <d v="2025-10-01T00:00:00"/>
        <d v="2025-07-05T00:00:00"/>
        <d v="2025-08-14T00:00:00"/>
        <d v="2025-11-07T00:00:00"/>
        <d v="2025-03-27T00:00:00"/>
        <d v="2025-02-15T00:00:00"/>
        <d v="2025-12-18T00:00:00"/>
        <d v="2025-05-31T00:00:00"/>
        <d v="2025-01-14T00:00:00"/>
        <d v="2025-08-13T00:00:00"/>
        <d v="2025-10-31T00:00:00"/>
        <d v="2025-06-07T00:00:00"/>
        <d v="2025-11-05T00:00:00"/>
        <d v="2025-12-30T00:00:00"/>
        <d v="2025-11-24T00:00:00"/>
        <d v="2025-02-28T00:00:00"/>
        <d v="2025-11-14T00:00:00"/>
        <d v="2025-01-17T00:00:00"/>
        <d v="2025-12-06T00:00:00"/>
        <d v="2025-02-14T00:00:00"/>
        <d v="2025-05-13T00:00:00"/>
        <d v="2025-06-01T00:00:00"/>
        <d v="2025-05-16T00:00:00"/>
        <d v="2025-03-03T00:00:00"/>
        <d v="2025-10-16T00:00:00"/>
        <d v="2025-10-22T00:00:00"/>
        <d v="2025-04-06T00:00:00"/>
        <d v="2025-06-27T00:00:00"/>
        <d v="2025-02-10T00:00:00"/>
        <d v="2025-12-07T00:00:00"/>
        <d v="2025-03-05T00:00:00"/>
        <d v="2025-04-02T00:00:00"/>
        <d v="2025-12-17T00:00:00"/>
        <d v="2025-08-17T00:00:00"/>
        <d v="2025-01-26T00:00:00"/>
        <d v="2025-07-08T00:00:00"/>
        <d v="2025-06-24T00:00:00"/>
        <d v="2025-12-27T00:00:00"/>
        <d v="2025-01-27T00:00:00"/>
        <d v="2025-05-07T00:00:00"/>
        <d v="2025-02-24T00:00:00"/>
        <d v="2025-08-06T00:00:00"/>
        <d v="2025-05-30T00:00:00"/>
        <d v="2025-06-19T00:00:00"/>
        <d v="2025-07-25T00:00:00"/>
        <d v="2025-07-17T00:00:00"/>
        <d v="2025-09-21T00:00:00"/>
        <d v="2025-05-09T00:00:00"/>
        <d v="2025-09-29T00:00:00"/>
        <d v="2025-12-24T00:00:00"/>
        <d v="2025-08-23T00:00:00"/>
        <d v="2025-06-16T00:00:00"/>
        <d v="2025-07-03T00:00:00"/>
        <d v="2025-10-02T00:00:00"/>
        <d v="2025-01-25T00:00:00"/>
        <d v="2025-12-20T00:00:00"/>
        <d v="2025-03-12T00:00:00"/>
        <d v="2025-01-01T00:00:00"/>
        <d v="2025-10-13T00:00:00"/>
        <d v="2025-01-15T00:00:00"/>
        <d v="2025-06-18T00:00:00"/>
        <d v="2025-11-12T00:00:00"/>
        <d v="2025-10-09T00:00:00"/>
        <d v="2025-06-14T00:00:00"/>
        <d v="2025-01-21T00:00:00"/>
        <d v="2025-09-07T00:00:00"/>
        <d v="2025-04-04T00:00:00"/>
        <d v="2025-09-18T00:00:00"/>
        <d v="2025-12-28T00:00:00"/>
        <d v="2025-02-05T00:00:00"/>
        <d v="2025-02-25T00:00:00"/>
      </sharedItems>
      <fieldGroup par="27"/>
    </cacheField>
    <cacheField name="MedicineName" numFmtId="49">
      <sharedItems count="15">
        <s v="Augmentin 625"/>
        <s v="Telma 40"/>
        <s v="Evion 400"/>
        <s v="Limcee 500"/>
        <s v="Azee 500"/>
        <s v="Ecosprin 75"/>
        <s v="Shelcal 500"/>
        <s v="Dolo 650"/>
        <s v="Glycomet 500"/>
        <s v="Pantocid 40"/>
        <s v="Crocin Advance"/>
        <s v="Montek LC"/>
        <s v="Pan-D"/>
        <s v="Becosules"/>
        <s v="Calpol 650"/>
      </sharedItems>
    </cacheField>
    <cacheField name="Category" numFmtId="49">
      <sharedItems count="9">
        <s v="Antibiotic"/>
        <s v="Blood Pressure"/>
        <s v="Vitamins"/>
        <s v="Heart"/>
        <s v="Calcium"/>
        <s v="Pain Relief"/>
        <s v="Diabetes"/>
        <s v="Gastric"/>
        <s v="Allergy"/>
      </sharedItems>
    </cacheField>
    <cacheField name="Brand" numFmtId="49">
      <sharedItems/>
    </cacheField>
    <cacheField name="Form" numFmtId="49">
      <sharedItems/>
    </cacheField>
    <cacheField name="Dosage" numFmtId="0">
      <sharedItems/>
    </cacheField>
    <cacheField name="Quantity" numFmtId="1">
      <sharedItems containsSemiMixedTypes="0" containsString="0" containsNumber="1" containsInteger="1" minValue="1" maxValue="5"/>
    </cacheField>
    <cacheField name="PurchasePrice" numFmtId="1">
      <sharedItems containsSemiMixedTypes="0" containsString="0" containsNumber="1" containsInteger="1" minValue="12" maxValue="140"/>
    </cacheField>
    <cacheField name="SellingPrice" numFmtId="0">
      <sharedItems containsSemiMixedTypes="0" containsString="0" containsNumber="1" containsInteger="1" minValue="20" maxValue="180"/>
    </cacheField>
    <cacheField name="Discount" numFmtId="0">
      <sharedItems containsSemiMixedTypes="0" containsString="0" containsNumber="1" containsInteger="1" minValue="0" maxValue="10"/>
    </cacheField>
    <cacheField name="GST" numFmtId="0">
      <sharedItems containsSemiMixedTypes="0" containsString="0" containsNumber="1" containsInteger="1" minValue="12" maxValue="12"/>
    </cacheField>
    <cacheField name="PaymentMode" numFmtId="0">
      <sharedItems count="3">
        <s v="Card"/>
        <s v="UPI"/>
        <s v="Cash"/>
      </sharedItems>
    </cacheField>
    <cacheField name="CustomerGender" numFmtId="0">
      <sharedItems/>
    </cacheField>
    <cacheField name="CustomerAge" numFmtId="0">
      <sharedItems containsSemiMixedTypes="0" containsString="0" containsNumber="1" containsInteger="1" minValue="18" maxValue="75"/>
    </cacheField>
    <cacheField name="City" numFmtId="0">
      <sharedItems/>
    </cacheField>
    <cacheField name="Employee" numFmtId="0">
      <sharedItems count="5">
        <s v="Anjali"/>
        <s v="Manoj"/>
        <s v="Ravi"/>
        <s v="Priya"/>
        <s v="Kiran"/>
      </sharedItems>
    </cacheField>
    <cacheField name="Supplier" numFmtId="0">
      <sharedItems count="5">
        <s v="Cipla Distributor"/>
        <s v="Abbott"/>
        <s v="Alkem"/>
        <s v="Sun Pharma"/>
        <s v="Mankind Pharma"/>
      </sharedItems>
    </cacheField>
    <cacheField name="BatchNo" numFmtId="0">
      <sharedItems/>
    </cacheField>
    <cacheField name="ExpiryDate" numFmtId="164">
      <sharedItems containsSemiMixedTypes="0" containsNonDate="0" containsDate="1" containsString="0" minDate="2025-08-22T00:00:00" maxDate="2028-05-27T00:00:00"/>
    </cacheField>
    <cacheField name="REVENUE" numFmtId="0">
      <sharedItems containsSemiMixedTypes="0" containsString="0" containsNumber="1" containsInteger="1" minValue="20" maxValue="900"/>
    </cacheField>
    <cacheField name="COST" numFmtId="0">
      <sharedItems containsSemiMixedTypes="0" containsString="0" containsNumber="1" containsInteger="1" minValue="12" maxValue="700"/>
    </cacheField>
    <cacheField name="PROFIT" numFmtId="0">
      <sharedItems containsSemiMixedTypes="0" containsString="0" containsNumber="1" containsInteger="1" minValue="8" maxValue="200"/>
    </cacheField>
    <cacheField name="PROFIT PERCENTAGE" numFmtId="10">
      <sharedItems containsSemiMixedTypes="0" containsString="0" containsNumber="1" minValue="0.22222222222222221" maxValue="0.4"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ntainsSemiMixedTypes="0" containsString="0" containsNumber="1" containsInteger="1" minValue="1" maxValue="12" count="12">
        <n v="7"/>
        <n v="4"/>
        <n v="9"/>
        <n v="2"/>
        <n v="10"/>
        <n v="12"/>
        <n v="6"/>
        <n v="5"/>
        <n v="3"/>
        <n v="1"/>
        <n v="11"/>
        <n v="8"/>
      </sharedItems>
    </cacheField>
    <cacheField name="Days (Date)" numFmtId="0" databaseField="0">
      <fieldGroup base="1">
        <rangePr groupBy="days" startDate="2025-01-01T00:00:00" endDate="2025-12-3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5"/>
        </groupItems>
      </fieldGroup>
    </cacheField>
    <cacheField name="Months (Date)" numFmtId="0" databaseField="0">
      <fieldGroup base="1">
        <rangePr groupBy="months" startDate="2025-01-01T00:00:00" endDate="2025-12-3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3"/>
    <x v="0"/>
    <x v="0"/>
    <x v="0"/>
    <s v="GSK"/>
    <s v="Tablet"/>
    <s v="625 mg"/>
    <n v="1"/>
    <n v="140"/>
    <n v="180"/>
    <n v="10"/>
    <n v="12"/>
    <x v="0"/>
    <s v="Male"/>
    <n v="27"/>
    <s v="Tumakuru"/>
    <x v="0"/>
    <x v="0"/>
    <s v="B5086"/>
    <d v="2026-11-12T00:00:00"/>
    <n v="180"/>
    <n v="140"/>
    <n v="40"/>
    <n v="0.22222222222222221"/>
    <n v="2025"/>
    <x v="0"/>
  </r>
  <r>
    <n v="1006"/>
    <x v="1"/>
    <x v="1"/>
    <x v="1"/>
    <s v="Glenmark"/>
    <s v="Tablet"/>
    <s v="40 mg"/>
    <n v="1"/>
    <n v="75"/>
    <n v="100"/>
    <n v="0"/>
    <n v="12"/>
    <x v="0"/>
    <s v="Female"/>
    <n v="41"/>
    <s v="Tumakuru"/>
    <x v="1"/>
    <x v="1"/>
    <s v="B3324"/>
    <d v="2026-03-26T00:00:00"/>
    <n v="100"/>
    <n v="75"/>
    <n v="25"/>
    <n v="0.25"/>
    <n v="2025"/>
    <x v="1"/>
  </r>
  <r>
    <n v="1010"/>
    <x v="2"/>
    <x v="2"/>
    <x v="2"/>
    <s v="Merck"/>
    <s v="Capsule"/>
    <s v="400 mg"/>
    <n v="1"/>
    <n v="25"/>
    <n v="38"/>
    <n v="10"/>
    <n v="12"/>
    <x v="1"/>
    <s v="Male"/>
    <n v="30"/>
    <s v="Tumakuru"/>
    <x v="2"/>
    <x v="0"/>
    <s v="B4499"/>
    <d v="2026-09-05T00:00:00"/>
    <n v="38"/>
    <n v="25"/>
    <n v="13"/>
    <n v="0.34210526315789475"/>
    <n v="2025"/>
    <x v="0"/>
  </r>
  <r>
    <n v="1021"/>
    <x v="3"/>
    <x v="3"/>
    <x v="2"/>
    <s v="Abbott"/>
    <s v="Tablet"/>
    <s v="500 mg"/>
    <n v="1"/>
    <n v="18"/>
    <n v="28"/>
    <n v="5"/>
    <n v="12"/>
    <x v="0"/>
    <s v="Female"/>
    <n v="74"/>
    <s v="Tumakuru"/>
    <x v="1"/>
    <x v="0"/>
    <s v="B5491"/>
    <d v="2026-06-07T00:00:00"/>
    <n v="28"/>
    <n v="18"/>
    <n v="10"/>
    <n v="0.35714285714285715"/>
    <n v="2025"/>
    <x v="2"/>
  </r>
  <r>
    <n v="1027"/>
    <x v="4"/>
    <x v="2"/>
    <x v="2"/>
    <s v="Merck"/>
    <s v="Capsule"/>
    <s v="400 mg"/>
    <n v="1"/>
    <n v="25"/>
    <n v="38"/>
    <n v="5"/>
    <n v="12"/>
    <x v="0"/>
    <s v="Male"/>
    <n v="67"/>
    <s v="Bengaluru"/>
    <x v="0"/>
    <x v="1"/>
    <s v="B7310"/>
    <d v="2026-05-01T00:00:00"/>
    <n v="38"/>
    <n v="25"/>
    <n v="13"/>
    <n v="0.34210526315789475"/>
    <n v="2025"/>
    <x v="3"/>
  </r>
  <r>
    <n v="1033"/>
    <x v="5"/>
    <x v="4"/>
    <x v="0"/>
    <s v="Cipla"/>
    <s v="Tablet"/>
    <s v="500 mg"/>
    <n v="1"/>
    <n v="90"/>
    <n v="120"/>
    <n v="0"/>
    <n v="12"/>
    <x v="0"/>
    <s v="Female"/>
    <n v="69"/>
    <s v="Mysuru"/>
    <x v="3"/>
    <x v="2"/>
    <s v="B2081"/>
    <d v="2027-08-22T00:00:00"/>
    <n v="120"/>
    <n v="90"/>
    <n v="30"/>
    <n v="0.25"/>
    <n v="2025"/>
    <x v="4"/>
  </r>
  <r>
    <n v="1037"/>
    <x v="5"/>
    <x v="5"/>
    <x v="3"/>
    <s v="USV"/>
    <s v="Tablet"/>
    <s v="75 mg"/>
    <n v="1"/>
    <n v="12"/>
    <n v="20"/>
    <n v="10"/>
    <n v="12"/>
    <x v="1"/>
    <s v="Female"/>
    <n v="55"/>
    <s v="Hubballi"/>
    <x v="4"/>
    <x v="0"/>
    <s v="B7953"/>
    <d v="2027-02-03T00:00:00"/>
    <n v="20"/>
    <n v="12"/>
    <n v="8"/>
    <n v="0.4"/>
    <n v="2025"/>
    <x v="4"/>
  </r>
  <r>
    <n v="1038"/>
    <x v="6"/>
    <x v="0"/>
    <x v="0"/>
    <s v="GSK"/>
    <s v="Tablet"/>
    <s v="625 mg"/>
    <n v="1"/>
    <n v="140"/>
    <n v="180"/>
    <n v="5"/>
    <n v="12"/>
    <x v="2"/>
    <s v="Male"/>
    <n v="19"/>
    <s v="Tumakuru"/>
    <x v="2"/>
    <x v="3"/>
    <s v="B6438"/>
    <d v="2026-12-02T00:00:00"/>
    <n v="180"/>
    <n v="140"/>
    <n v="40"/>
    <n v="0.22222222222222221"/>
    <n v="2025"/>
    <x v="0"/>
  </r>
  <r>
    <n v="1040"/>
    <x v="7"/>
    <x v="5"/>
    <x v="3"/>
    <s v="USV"/>
    <s v="Tablet"/>
    <s v="75 mg"/>
    <n v="1"/>
    <n v="12"/>
    <n v="20"/>
    <n v="10"/>
    <n v="12"/>
    <x v="0"/>
    <s v="Male"/>
    <n v="47"/>
    <s v="Mysuru"/>
    <x v="4"/>
    <x v="4"/>
    <s v="B3747"/>
    <d v="2026-10-15T00:00:00"/>
    <n v="20"/>
    <n v="12"/>
    <n v="8"/>
    <n v="0.4"/>
    <n v="2025"/>
    <x v="4"/>
  </r>
  <r>
    <n v="1046"/>
    <x v="8"/>
    <x v="3"/>
    <x v="2"/>
    <s v="Abbott"/>
    <s v="Tablet"/>
    <s v="500 mg"/>
    <n v="1"/>
    <n v="18"/>
    <n v="28"/>
    <n v="0"/>
    <n v="12"/>
    <x v="0"/>
    <s v="Male"/>
    <n v="29"/>
    <s v="Mysuru"/>
    <x v="0"/>
    <x v="3"/>
    <s v="B4110"/>
    <d v="2026-12-30T00:00:00"/>
    <n v="28"/>
    <n v="18"/>
    <n v="10"/>
    <n v="0.35714285714285715"/>
    <n v="2025"/>
    <x v="0"/>
  </r>
  <r>
    <n v="1056"/>
    <x v="9"/>
    <x v="6"/>
    <x v="4"/>
    <s v="Torrent"/>
    <s v="Tablet"/>
    <s v="500 mg"/>
    <n v="1"/>
    <n v="80"/>
    <n v="110"/>
    <n v="5"/>
    <n v="12"/>
    <x v="0"/>
    <s v="Female"/>
    <n v="23"/>
    <s v="Mysuru"/>
    <x v="1"/>
    <x v="1"/>
    <s v="B4488"/>
    <d v="2026-06-24T00:00:00"/>
    <n v="110"/>
    <n v="80"/>
    <n v="30"/>
    <n v="0.27272727272727271"/>
    <n v="2025"/>
    <x v="5"/>
  </r>
  <r>
    <n v="1072"/>
    <x v="10"/>
    <x v="7"/>
    <x v="5"/>
    <s v="Micro Labs"/>
    <s v="Tablet"/>
    <s v="650 mg"/>
    <n v="1"/>
    <n v="25"/>
    <n v="35"/>
    <n v="0"/>
    <n v="12"/>
    <x v="2"/>
    <s v="Male"/>
    <n v="45"/>
    <s v="Bengaluru"/>
    <x v="0"/>
    <x v="3"/>
    <s v="B2935"/>
    <d v="2026-07-16T00:00:00"/>
    <n v="35"/>
    <n v="25"/>
    <n v="10"/>
    <n v="0.2857142857142857"/>
    <n v="2025"/>
    <x v="6"/>
  </r>
  <r>
    <n v="1077"/>
    <x v="11"/>
    <x v="8"/>
    <x v="6"/>
    <s v="USV"/>
    <s v="Tablet"/>
    <s v="500 mg"/>
    <n v="1"/>
    <n v="45"/>
    <n v="65"/>
    <n v="5"/>
    <n v="12"/>
    <x v="1"/>
    <s v="Male"/>
    <n v="63"/>
    <s v="Hubballi"/>
    <x v="1"/>
    <x v="4"/>
    <s v="B8302"/>
    <d v="2027-01-02T00:00:00"/>
    <n v="65"/>
    <n v="45"/>
    <n v="20"/>
    <n v="0.30769230769230771"/>
    <n v="2025"/>
    <x v="0"/>
  </r>
  <r>
    <n v="1080"/>
    <x v="12"/>
    <x v="5"/>
    <x v="3"/>
    <s v="USV"/>
    <s v="Tablet"/>
    <s v="75 mg"/>
    <n v="1"/>
    <n v="12"/>
    <n v="20"/>
    <n v="10"/>
    <n v="12"/>
    <x v="2"/>
    <s v="Female"/>
    <n v="53"/>
    <s v="Hubballi"/>
    <x v="2"/>
    <x v="0"/>
    <s v="B8832"/>
    <d v="2026-06-13T00:00:00"/>
    <n v="20"/>
    <n v="12"/>
    <n v="8"/>
    <n v="0.4"/>
    <n v="2025"/>
    <x v="1"/>
  </r>
  <r>
    <n v="1099"/>
    <x v="13"/>
    <x v="5"/>
    <x v="3"/>
    <s v="USV"/>
    <s v="Tablet"/>
    <s v="75 mg"/>
    <n v="1"/>
    <n v="12"/>
    <n v="20"/>
    <n v="0"/>
    <n v="12"/>
    <x v="1"/>
    <s v="Male"/>
    <n v="26"/>
    <s v="Hubballi"/>
    <x v="4"/>
    <x v="3"/>
    <s v="B2724"/>
    <d v="2026-11-09T00:00:00"/>
    <n v="20"/>
    <n v="12"/>
    <n v="8"/>
    <n v="0.4"/>
    <n v="2025"/>
    <x v="2"/>
  </r>
  <r>
    <n v="1110"/>
    <x v="14"/>
    <x v="8"/>
    <x v="6"/>
    <s v="USV"/>
    <s v="Tablet"/>
    <s v="500 mg"/>
    <n v="1"/>
    <n v="45"/>
    <n v="65"/>
    <n v="10"/>
    <n v="12"/>
    <x v="0"/>
    <s v="Male"/>
    <n v="65"/>
    <s v="Tumakuru"/>
    <x v="2"/>
    <x v="2"/>
    <s v="B5113"/>
    <d v="2025-12-25T00:00:00"/>
    <n v="65"/>
    <n v="45"/>
    <n v="20"/>
    <n v="0.30769230769230771"/>
    <n v="2025"/>
    <x v="7"/>
  </r>
  <r>
    <n v="1115"/>
    <x v="15"/>
    <x v="9"/>
    <x v="7"/>
    <s v="Sun Pharma"/>
    <s v="Tablet"/>
    <s v="40 mg"/>
    <n v="1"/>
    <n v="60"/>
    <n v="85"/>
    <n v="10"/>
    <n v="12"/>
    <x v="2"/>
    <s v="Female"/>
    <n v="54"/>
    <s v="Mysuru"/>
    <x v="0"/>
    <x v="4"/>
    <s v="B9521"/>
    <d v="2026-12-24T00:00:00"/>
    <n v="85"/>
    <n v="60"/>
    <n v="25"/>
    <n v="0.29411764705882354"/>
    <n v="2025"/>
    <x v="1"/>
  </r>
  <r>
    <n v="1122"/>
    <x v="16"/>
    <x v="10"/>
    <x v="5"/>
    <s v="GSK"/>
    <s v="Tablet"/>
    <s v="500 mg"/>
    <n v="1"/>
    <n v="22"/>
    <n v="32"/>
    <n v="5"/>
    <n v="12"/>
    <x v="1"/>
    <s v="Male"/>
    <n v="18"/>
    <s v="Bengaluru"/>
    <x v="2"/>
    <x v="3"/>
    <s v="B8002"/>
    <d v="2026-11-03T00:00:00"/>
    <n v="32"/>
    <n v="22"/>
    <n v="10"/>
    <n v="0.3125"/>
    <n v="2025"/>
    <x v="3"/>
  </r>
  <r>
    <n v="1125"/>
    <x v="17"/>
    <x v="6"/>
    <x v="4"/>
    <s v="Torrent"/>
    <s v="Tablet"/>
    <s v="500 mg"/>
    <n v="1"/>
    <n v="80"/>
    <n v="110"/>
    <n v="5"/>
    <n v="12"/>
    <x v="0"/>
    <s v="Female"/>
    <n v="53"/>
    <s v="Tumakuru"/>
    <x v="2"/>
    <x v="0"/>
    <s v="B1446"/>
    <d v="2025-12-02T00:00:00"/>
    <n v="110"/>
    <n v="80"/>
    <n v="30"/>
    <n v="0.27272727272727271"/>
    <n v="2025"/>
    <x v="8"/>
  </r>
  <r>
    <n v="1127"/>
    <x v="0"/>
    <x v="11"/>
    <x v="8"/>
    <s v="Sun Pharma"/>
    <s v="Tablet"/>
    <s v="NA"/>
    <n v="1"/>
    <n v="95"/>
    <n v="125"/>
    <n v="10"/>
    <n v="12"/>
    <x v="2"/>
    <s v="Male"/>
    <n v="46"/>
    <s v="Hubballi"/>
    <x v="1"/>
    <x v="1"/>
    <s v="B3906"/>
    <d v="2027-09-22T00:00:00"/>
    <n v="125"/>
    <n v="95"/>
    <n v="30"/>
    <n v="0.24"/>
    <n v="2025"/>
    <x v="0"/>
  </r>
  <r>
    <n v="1130"/>
    <x v="18"/>
    <x v="9"/>
    <x v="7"/>
    <s v="Sun Pharma"/>
    <s v="Tablet"/>
    <s v="40 mg"/>
    <n v="1"/>
    <n v="60"/>
    <n v="85"/>
    <n v="0"/>
    <n v="12"/>
    <x v="2"/>
    <s v="Female"/>
    <n v="63"/>
    <s v="Tumakuru"/>
    <x v="1"/>
    <x v="0"/>
    <s v="B3703"/>
    <d v="2026-03-30T00:00:00"/>
    <n v="85"/>
    <n v="60"/>
    <n v="25"/>
    <n v="0.29411764705882354"/>
    <n v="2025"/>
    <x v="9"/>
  </r>
  <r>
    <n v="1134"/>
    <x v="19"/>
    <x v="12"/>
    <x v="7"/>
    <s v="Alkem"/>
    <s v="Capsule"/>
    <s v="40 mg"/>
    <n v="1"/>
    <n v="70"/>
    <n v="95"/>
    <n v="10"/>
    <n v="12"/>
    <x v="2"/>
    <s v="Female"/>
    <n v="40"/>
    <s v="Hubballi"/>
    <x v="3"/>
    <x v="1"/>
    <s v="B7005"/>
    <d v="2025-10-12T00:00:00"/>
    <n v="95"/>
    <n v="70"/>
    <n v="25"/>
    <n v="0.26315789473684209"/>
    <n v="2025"/>
    <x v="1"/>
  </r>
  <r>
    <n v="1139"/>
    <x v="20"/>
    <x v="13"/>
    <x v="2"/>
    <s v="Pfizer"/>
    <s v="Capsule"/>
    <s v="NA"/>
    <n v="1"/>
    <n v="35"/>
    <n v="50"/>
    <n v="0"/>
    <n v="12"/>
    <x v="1"/>
    <s v="Female"/>
    <n v="43"/>
    <s v="Mysuru"/>
    <x v="4"/>
    <x v="1"/>
    <s v="B7815"/>
    <d v="2027-04-03T00:00:00"/>
    <n v="50"/>
    <n v="35"/>
    <n v="15"/>
    <n v="0.3"/>
    <n v="2025"/>
    <x v="0"/>
  </r>
  <r>
    <n v="1151"/>
    <x v="21"/>
    <x v="13"/>
    <x v="2"/>
    <s v="Pfizer"/>
    <s v="Capsule"/>
    <s v="NA"/>
    <n v="1"/>
    <n v="35"/>
    <n v="50"/>
    <n v="0"/>
    <n v="12"/>
    <x v="0"/>
    <s v="Female"/>
    <n v="29"/>
    <s v="Mysuru"/>
    <x v="4"/>
    <x v="2"/>
    <s v="B4916"/>
    <d v="2027-02-07T00:00:00"/>
    <n v="50"/>
    <n v="35"/>
    <n v="15"/>
    <n v="0.3"/>
    <n v="2025"/>
    <x v="6"/>
  </r>
  <r>
    <n v="1153"/>
    <x v="22"/>
    <x v="6"/>
    <x v="4"/>
    <s v="Torrent"/>
    <s v="Tablet"/>
    <s v="500 mg"/>
    <n v="1"/>
    <n v="80"/>
    <n v="110"/>
    <n v="10"/>
    <n v="12"/>
    <x v="2"/>
    <s v="Male"/>
    <n v="54"/>
    <s v="Hubballi"/>
    <x v="1"/>
    <x v="1"/>
    <s v="B6372"/>
    <d v="2027-07-11T00:00:00"/>
    <n v="110"/>
    <n v="80"/>
    <n v="30"/>
    <n v="0.27272727272727271"/>
    <n v="2025"/>
    <x v="10"/>
  </r>
  <r>
    <n v="1160"/>
    <x v="23"/>
    <x v="10"/>
    <x v="5"/>
    <s v="GSK"/>
    <s v="Tablet"/>
    <s v="500 mg"/>
    <n v="1"/>
    <n v="22"/>
    <n v="32"/>
    <n v="0"/>
    <n v="12"/>
    <x v="0"/>
    <s v="Female"/>
    <n v="49"/>
    <s v="Mysuru"/>
    <x v="3"/>
    <x v="4"/>
    <s v="B6669"/>
    <d v="2025-11-06T00:00:00"/>
    <n v="32"/>
    <n v="22"/>
    <n v="10"/>
    <n v="0.3125"/>
    <n v="2025"/>
    <x v="9"/>
  </r>
  <r>
    <n v="1161"/>
    <x v="24"/>
    <x v="9"/>
    <x v="7"/>
    <s v="Sun Pharma"/>
    <s v="Tablet"/>
    <s v="40 mg"/>
    <n v="1"/>
    <n v="60"/>
    <n v="85"/>
    <n v="5"/>
    <n v="12"/>
    <x v="1"/>
    <s v="Female"/>
    <n v="31"/>
    <s v="Tumakuru"/>
    <x v="3"/>
    <x v="1"/>
    <s v="B5219"/>
    <d v="2026-09-04T00:00:00"/>
    <n v="85"/>
    <n v="60"/>
    <n v="25"/>
    <n v="0.29411764705882354"/>
    <n v="2025"/>
    <x v="0"/>
  </r>
  <r>
    <n v="1163"/>
    <x v="18"/>
    <x v="1"/>
    <x v="1"/>
    <s v="Glenmark"/>
    <s v="Tablet"/>
    <s v="40 mg"/>
    <n v="1"/>
    <n v="75"/>
    <n v="100"/>
    <n v="5"/>
    <n v="12"/>
    <x v="2"/>
    <s v="Female"/>
    <n v="58"/>
    <s v="Tumakuru"/>
    <x v="2"/>
    <x v="2"/>
    <s v="B4740"/>
    <d v="2025-10-22T00:00:00"/>
    <n v="100"/>
    <n v="75"/>
    <n v="25"/>
    <n v="0.25"/>
    <n v="2025"/>
    <x v="9"/>
  </r>
  <r>
    <n v="1169"/>
    <x v="25"/>
    <x v="14"/>
    <x v="5"/>
    <s v="GSK"/>
    <s v="Tablet"/>
    <s v="650 mg"/>
    <n v="1"/>
    <n v="24"/>
    <n v="34"/>
    <n v="5"/>
    <n v="12"/>
    <x v="0"/>
    <s v="Male"/>
    <n v="49"/>
    <s v="Bengaluru"/>
    <x v="2"/>
    <x v="2"/>
    <s v="B2229"/>
    <d v="2026-04-16T00:00:00"/>
    <n v="34"/>
    <n v="24"/>
    <n v="10"/>
    <n v="0.29411764705882354"/>
    <n v="2025"/>
    <x v="7"/>
  </r>
  <r>
    <n v="1170"/>
    <x v="26"/>
    <x v="11"/>
    <x v="8"/>
    <s v="Sun Pharma"/>
    <s v="Tablet"/>
    <s v="NA"/>
    <n v="1"/>
    <n v="95"/>
    <n v="125"/>
    <n v="0"/>
    <n v="12"/>
    <x v="0"/>
    <s v="Female"/>
    <n v="56"/>
    <s v="Hubballi"/>
    <x v="4"/>
    <x v="3"/>
    <s v="B5698"/>
    <d v="2025-09-24T00:00:00"/>
    <n v="125"/>
    <n v="95"/>
    <n v="30"/>
    <n v="0.24"/>
    <n v="2025"/>
    <x v="8"/>
  </r>
  <r>
    <n v="1176"/>
    <x v="27"/>
    <x v="9"/>
    <x v="7"/>
    <s v="Sun Pharma"/>
    <s v="Tablet"/>
    <s v="40 mg"/>
    <n v="1"/>
    <n v="60"/>
    <n v="85"/>
    <n v="5"/>
    <n v="12"/>
    <x v="0"/>
    <s v="Female"/>
    <n v="38"/>
    <s v="Tumakuru"/>
    <x v="1"/>
    <x v="1"/>
    <s v="B1219"/>
    <d v="2026-08-29T00:00:00"/>
    <n v="85"/>
    <n v="60"/>
    <n v="25"/>
    <n v="0.29411764705882354"/>
    <n v="2025"/>
    <x v="9"/>
  </r>
  <r>
    <n v="1182"/>
    <x v="28"/>
    <x v="8"/>
    <x v="6"/>
    <s v="USV"/>
    <s v="Tablet"/>
    <s v="500 mg"/>
    <n v="1"/>
    <n v="45"/>
    <n v="65"/>
    <n v="0"/>
    <n v="12"/>
    <x v="1"/>
    <s v="Male"/>
    <n v="24"/>
    <s v="Bengaluru"/>
    <x v="4"/>
    <x v="2"/>
    <s v="B1572"/>
    <d v="2027-06-16T00:00:00"/>
    <n v="65"/>
    <n v="45"/>
    <n v="20"/>
    <n v="0.30769230769230771"/>
    <n v="2025"/>
    <x v="6"/>
  </r>
  <r>
    <n v="1185"/>
    <x v="29"/>
    <x v="4"/>
    <x v="0"/>
    <s v="Cipla"/>
    <s v="Tablet"/>
    <s v="500 mg"/>
    <n v="1"/>
    <n v="90"/>
    <n v="120"/>
    <n v="10"/>
    <n v="12"/>
    <x v="0"/>
    <s v="Female"/>
    <n v="53"/>
    <s v="Tumakuru"/>
    <x v="3"/>
    <x v="3"/>
    <s v="B6859"/>
    <d v="2027-08-21T00:00:00"/>
    <n v="120"/>
    <n v="90"/>
    <n v="30"/>
    <n v="0.25"/>
    <n v="2025"/>
    <x v="7"/>
  </r>
  <r>
    <n v="1188"/>
    <x v="30"/>
    <x v="2"/>
    <x v="2"/>
    <s v="Merck"/>
    <s v="Capsule"/>
    <s v="400 mg"/>
    <n v="1"/>
    <n v="25"/>
    <n v="38"/>
    <n v="10"/>
    <n v="12"/>
    <x v="1"/>
    <s v="Male"/>
    <n v="74"/>
    <s v="Mysuru"/>
    <x v="3"/>
    <x v="3"/>
    <s v="B5719"/>
    <d v="2026-05-20T00:00:00"/>
    <n v="38"/>
    <n v="25"/>
    <n v="13"/>
    <n v="0.34210526315789475"/>
    <n v="2025"/>
    <x v="7"/>
  </r>
  <r>
    <n v="1199"/>
    <x v="31"/>
    <x v="0"/>
    <x v="0"/>
    <s v="GSK"/>
    <s v="Tablet"/>
    <s v="625 mg"/>
    <n v="1"/>
    <n v="140"/>
    <n v="180"/>
    <n v="10"/>
    <n v="12"/>
    <x v="0"/>
    <s v="Female"/>
    <n v="60"/>
    <s v="Bengaluru"/>
    <x v="3"/>
    <x v="3"/>
    <s v="B8019"/>
    <d v="2026-04-29T00:00:00"/>
    <n v="180"/>
    <n v="140"/>
    <n v="40"/>
    <n v="0.22222222222222221"/>
    <n v="2025"/>
    <x v="9"/>
  </r>
  <r>
    <n v="1201"/>
    <x v="32"/>
    <x v="12"/>
    <x v="7"/>
    <s v="Alkem"/>
    <s v="Capsule"/>
    <s v="40 mg"/>
    <n v="1"/>
    <n v="70"/>
    <n v="95"/>
    <n v="5"/>
    <n v="12"/>
    <x v="2"/>
    <s v="Female"/>
    <n v="21"/>
    <s v="Mysuru"/>
    <x v="1"/>
    <x v="3"/>
    <s v="B2656"/>
    <d v="2027-01-03T00:00:00"/>
    <n v="95"/>
    <n v="70"/>
    <n v="25"/>
    <n v="0.26315789473684209"/>
    <n v="2025"/>
    <x v="0"/>
  </r>
  <r>
    <n v="1208"/>
    <x v="33"/>
    <x v="5"/>
    <x v="3"/>
    <s v="USV"/>
    <s v="Tablet"/>
    <s v="75 mg"/>
    <n v="1"/>
    <n v="12"/>
    <n v="20"/>
    <n v="5"/>
    <n v="12"/>
    <x v="0"/>
    <s v="Male"/>
    <n v="55"/>
    <s v="Hubballi"/>
    <x v="3"/>
    <x v="2"/>
    <s v="B5126"/>
    <d v="2026-11-13T00:00:00"/>
    <n v="20"/>
    <n v="12"/>
    <n v="8"/>
    <n v="0.4"/>
    <n v="2025"/>
    <x v="8"/>
  </r>
  <r>
    <n v="1216"/>
    <x v="34"/>
    <x v="10"/>
    <x v="5"/>
    <s v="GSK"/>
    <s v="Tablet"/>
    <s v="500 mg"/>
    <n v="1"/>
    <n v="22"/>
    <n v="32"/>
    <n v="10"/>
    <n v="12"/>
    <x v="2"/>
    <s v="Male"/>
    <n v="26"/>
    <s v="Bengaluru"/>
    <x v="3"/>
    <x v="4"/>
    <s v="B2914"/>
    <d v="2027-06-23T00:00:00"/>
    <n v="32"/>
    <n v="22"/>
    <n v="10"/>
    <n v="0.3125"/>
    <n v="2025"/>
    <x v="5"/>
  </r>
  <r>
    <n v="1218"/>
    <x v="35"/>
    <x v="14"/>
    <x v="5"/>
    <s v="GSK"/>
    <s v="Tablet"/>
    <s v="650 mg"/>
    <n v="1"/>
    <n v="24"/>
    <n v="34"/>
    <n v="10"/>
    <n v="12"/>
    <x v="1"/>
    <s v="Male"/>
    <n v="57"/>
    <s v="Bengaluru"/>
    <x v="2"/>
    <x v="2"/>
    <s v="B7489"/>
    <d v="2026-06-11T00:00:00"/>
    <n v="34"/>
    <n v="24"/>
    <n v="10"/>
    <n v="0.29411764705882354"/>
    <n v="2025"/>
    <x v="9"/>
  </r>
  <r>
    <n v="1221"/>
    <x v="36"/>
    <x v="8"/>
    <x v="6"/>
    <s v="USV"/>
    <s v="Tablet"/>
    <s v="500 mg"/>
    <n v="1"/>
    <n v="45"/>
    <n v="65"/>
    <n v="5"/>
    <n v="12"/>
    <x v="2"/>
    <s v="Female"/>
    <n v="42"/>
    <s v="Tumakuru"/>
    <x v="0"/>
    <x v="1"/>
    <s v="B2319"/>
    <d v="2027-06-28T00:00:00"/>
    <n v="65"/>
    <n v="45"/>
    <n v="20"/>
    <n v="0.30769230769230771"/>
    <n v="2025"/>
    <x v="3"/>
  </r>
  <r>
    <n v="1224"/>
    <x v="37"/>
    <x v="0"/>
    <x v="0"/>
    <s v="GSK"/>
    <s v="Tablet"/>
    <s v="625 mg"/>
    <n v="1"/>
    <n v="140"/>
    <n v="180"/>
    <n v="0"/>
    <n v="12"/>
    <x v="1"/>
    <s v="Female"/>
    <n v="63"/>
    <s v="Hubballi"/>
    <x v="2"/>
    <x v="1"/>
    <s v="B1451"/>
    <d v="2027-08-21T00:00:00"/>
    <n v="180"/>
    <n v="140"/>
    <n v="40"/>
    <n v="0.22222222222222221"/>
    <n v="2025"/>
    <x v="8"/>
  </r>
  <r>
    <n v="1227"/>
    <x v="38"/>
    <x v="6"/>
    <x v="4"/>
    <s v="Torrent"/>
    <s v="Tablet"/>
    <s v="500 mg"/>
    <n v="1"/>
    <n v="80"/>
    <n v="110"/>
    <n v="5"/>
    <n v="12"/>
    <x v="2"/>
    <s v="Female"/>
    <n v="70"/>
    <s v="Bengaluru"/>
    <x v="1"/>
    <x v="1"/>
    <s v="B4430"/>
    <d v="2026-11-10T00:00:00"/>
    <n v="110"/>
    <n v="80"/>
    <n v="30"/>
    <n v="0.27272727272727271"/>
    <n v="2025"/>
    <x v="11"/>
  </r>
  <r>
    <n v="1228"/>
    <x v="39"/>
    <x v="7"/>
    <x v="5"/>
    <s v="Micro Labs"/>
    <s v="Tablet"/>
    <s v="650 mg"/>
    <n v="1"/>
    <n v="25"/>
    <n v="35"/>
    <n v="10"/>
    <n v="12"/>
    <x v="0"/>
    <s v="Female"/>
    <n v="44"/>
    <s v="Bengaluru"/>
    <x v="0"/>
    <x v="0"/>
    <s v="B9794"/>
    <d v="2027-03-02T00:00:00"/>
    <n v="35"/>
    <n v="25"/>
    <n v="10"/>
    <n v="0.2857142857142857"/>
    <n v="2025"/>
    <x v="10"/>
  </r>
  <r>
    <n v="1238"/>
    <x v="40"/>
    <x v="1"/>
    <x v="1"/>
    <s v="Glenmark"/>
    <s v="Tablet"/>
    <s v="40 mg"/>
    <n v="1"/>
    <n v="75"/>
    <n v="100"/>
    <n v="0"/>
    <n v="12"/>
    <x v="1"/>
    <s v="Female"/>
    <n v="31"/>
    <s v="Bengaluru"/>
    <x v="0"/>
    <x v="2"/>
    <s v="B5138"/>
    <d v="2027-06-28T00:00:00"/>
    <n v="100"/>
    <n v="75"/>
    <n v="25"/>
    <n v="0.25"/>
    <n v="2025"/>
    <x v="10"/>
  </r>
  <r>
    <n v="1239"/>
    <x v="41"/>
    <x v="14"/>
    <x v="5"/>
    <s v="GSK"/>
    <s v="Tablet"/>
    <s v="650 mg"/>
    <n v="1"/>
    <n v="24"/>
    <n v="34"/>
    <n v="0"/>
    <n v="12"/>
    <x v="1"/>
    <s v="Female"/>
    <n v="28"/>
    <s v="Hubballi"/>
    <x v="1"/>
    <x v="1"/>
    <s v="B2157"/>
    <d v="2028-01-01T00:00:00"/>
    <n v="34"/>
    <n v="24"/>
    <n v="10"/>
    <n v="0.29411764705882354"/>
    <n v="2025"/>
    <x v="2"/>
  </r>
  <r>
    <n v="1250"/>
    <x v="42"/>
    <x v="11"/>
    <x v="8"/>
    <s v="Sun Pharma"/>
    <s v="Tablet"/>
    <s v="NA"/>
    <n v="1"/>
    <n v="95"/>
    <n v="125"/>
    <n v="0"/>
    <n v="12"/>
    <x v="1"/>
    <s v="Female"/>
    <n v="60"/>
    <s v="Hubballi"/>
    <x v="4"/>
    <x v="2"/>
    <s v="B2264"/>
    <d v="2027-08-01T00:00:00"/>
    <n v="125"/>
    <n v="95"/>
    <n v="30"/>
    <n v="0.24"/>
    <n v="2025"/>
    <x v="3"/>
  </r>
  <r>
    <n v="1267"/>
    <x v="43"/>
    <x v="1"/>
    <x v="1"/>
    <s v="Glenmark"/>
    <s v="Tablet"/>
    <s v="40 mg"/>
    <n v="1"/>
    <n v="75"/>
    <n v="100"/>
    <n v="10"/>
    <n v="12"/>
    <x v="0"/>
    <s v="Male"/>
    <n v="71"/>
    <s v="Bengaluru"/>
    <x v="3"/>
    <x v="1"/>
    <s v="B8256"/>
    <d v="2026-03-04T00:00:00"/>
    <n v="100"/>
    <n v="75"/>
    <n v="25"/>
    <n v="0.25"/>
    <n v="2025"/>
    <x v="0"/>
  </r>
  <r>
    <n v="1273"/>
    <x v="44"/>
    <x v="13"/>
    <x v="2"/>
    <s v="Pfizer"/>
    <s v="Capsule"/>
    <s v="NA"/>
    <n v="1"/>
    <n v="35"/>
    <n v="50"/>
    <n v="0"/>
    <n v="12"/>
    <x v="1"/>
    <s v="Male"/>
    <n v="20"/>
    <s v="Tumakuru"/>
    <x v="3"/>
    <x v="2"/>
    <s v="B7899"/>
    <d v="2027-09-10T00:00:00"/>
    <n v="50"/>
    <n v="35"/>
    <n v="15"/>
    <n v="0.3"/>
    <n v="2025"/>
    <x v="1"/>
  </r>
  <r>
    <n v="1275"/>
    <x v="9"/>
    <x v="10"/>
    <x v="5"/>
    <s v="GSK"/>
    <s v="Tablet"/>
    <s v="500 mg"/>
    <n v="1"/>
    <n v="22"/>
    <n v="32"/>
    <n v="5"/>
    <n v="12"/>
    <x v="2"/>
    <s v="Male"/>
    <n v="48"/>
    <s v="Bengaluru"/>
    <x v="2"/>
    <x v="2"/>
    <s v="B3170"/>
    <d v="2027-03-03T00:00:00"/>
    <n v="32"/>
    <n v="22"/>
    <n v="10"/>
    <n v="0.3125"/>
    <n v="2025"/>
    <x v="5"/>
  </r>
  <r>
    <n v="1277"/>
    <x v="23"/>
    <x v="1"/>
    <x v="1"/>
    <s v="Glenmark"/>
    <s v="Tablet"/>
    <s v="40 mg"/>
    <n v="1"/>
    <n v="75"/>
    <n v="100"/>
    <n v="5"/>
    <n v="12"/>
    <x v="0"/>
    <s v="Male"/>
    <n v="27"/>
    <s v="Tumakuru"/>
    <x v="2"/>
    <x v="0"/>
    <s v="B7803"/>
    <d v="2027-02-13T00:00:00"/>
    <n v="100"/>
    <n v="75"/>
    <n v="25"/>
    <n v="0.25"/>
    <n v="2025"/>
    <x v="9"/>
  </r>
  <r>
    <n v="1282"/>
    <x v="45"/>
    <x v="10"/>
    <x v="5"/>
    <s v="GSK"/>
    <s v="Tablet"/>
    <s v="500 mg"/>
    <n v="1"/>
    <n v="22"/>
    <n v="32"/>
    <n v="10"/>
    <n v="12"/>
    <x v="1"/>
    <s v="Female"/>
    <n v="73"/>
    <s v="Hubballi"/>
    <x v="1"/>
    <x v="1"/>
    <s v="B4225"/>
    <d v="2027-08-30T00:00:00"/>
    <n v="32"/>
    <n v="22"/>
    <n v="10"/>
    <n v="0.3125"/>
    <n v="2025"/>
    <x v="11"/>
  </r>
  <r>
    <n v="1284"/>
    <x v="46"/>
    <x v="6"/>
    <x v="4"/>
    <s v="Torrent"/>
    <s v="Tablet"/>
    <s v="500 mg"/>
    <n v="1"/>
    <n v="80"/>
    <n v="110"/>
    <n v="0"/>
    <n v="12"/>
    <x v="0"/>
    <s v="Male"/>
    <n v="57"/>
    <s v="Bengaluru"/>
    <x v="0"/>
    <x v="3"/>
    <s v="B2246"/>
    <d v="2027-07-04T00:00:00"/>
    <n v="110"/>
    <n v="80"/>
    <n v="30"/>
    <n v="0.27272727272727271"/>
    <n v="2025"/>
    <x v="8"/>
  </r>
  <r>
    <n v="1289"/>
    <x v="47"/>
    <x v="14"/>
    <x v="5"/>
    <s v="GSK"/>
    <s v="Tablet"/>
    <s v="650 mg"/>
    <n v="1"/>
    <n v="24"/>
    <n v="34"/>
    <n v="10"/>
    <n v="12"/>
    <x v="2"/>
    <s v="Male"/>
    <n v="68"/>
    <s v="Hubballi"/>
    <x v="0"/>
    <x v="2"/>
    <s v="B8488"/>
    <d v="2026-03-11T00:00:00"/>
    <n v="34"/>
    <n v="24"/>
    <n v="10"/>
    <n v="0.29411764705882354"/>
    <n v="2025"/>
    <x v="8"/>
  </r>
  <r>
    <n v="1295"/>
    <x v="48"/>
    <x v="10"/>
    <x v="5"/>
    <s v="GSK"/>
    <s v="Tablet"/>
    <s v="500 mg"/>
    <n v="1"/>
    <n v="22"/>
    <n v="32"/>
    <n v="10"/>
    <n v="12"/>
    <x v="1"/>
    <s v="Male"/>
    <n v="47"/>
    <s v="Bengaluru"/>
    <x v="2"/>
    <x v="4"/>
    <s v="B3438"/>
    <d v="2027-01-06T00:00:00"/>
    <n v="32"/>
    <n v="22"/>
    <n v="10"/>
    <n v="0.3125"/>
    <n v="2025"/>
    <x v="5"/>
  </r>
  <r>
    <n v="1304"/>
    <x v="49"/>
    <x v="11"/>
    <x v="8"/>
    <s v="Sun Pharma"/>
    <s v="Tablet"/>
    <s v="NA"/>
    <n v="1"/>
    <n v="95"/>
    <n v="125"/>
    <n v="0"/>
    <n v="12"/>
    <x v="1"/>
    <s v="Female"/>
    <n v="68"/>
    <s v="Tumakuru"/>
    <x v="1"/>
    <x v="2"/>
    <s v="B6629"/>
    <d v="2026-09-26T00:00:00"/>
    <n v="125"/>
    <n v="95"/>
    <n v="30"/>
    <n v="0.24"/>
    <n v="2025"/>
    <x v="1"/>
  </r>
  <r>
    <n v="1310"/>
    <x v="50"/>
    <x v="8"/>
    <x v="6"/>
    <s v="USV"/>
    <s v="Tablet"/>
    <s v="500 mg"/>
    <n v="1"/>
    <n v="45"/>
    <n v="65"/>
    <n v="5"/>
    <n v="12"/>
    <x v="2"/>
    <s v="Male"/>
    <n v="48"/>
    <s v="Tumakuru"/>
    <x v="0"/>
    <x v="2"/>
    <s v="B7564"/>
    <d v="2026-12-15T00:00:00"/>
    <n v="65"/>
    <n v="45"/>
    <n v="20"/>
    <n v="0.30769230769230771"/>
    <n v="2025"/>
    <x v="8"/>
  </r>
  <r>
    <n v="1313"/>
    <x v="51"/>
    <x v="3"/>
    <x v="2"/>
    <s v="Abbott"/>
    <s v="Tablet"/>
    <s v="500 mg"/>
    <n v="1"/>
    <n v="18"/>
    <n v="28"/>
    <n v="10"/>
    <n v="12"/>
    <x v="1"/>
    <s v="Male"/>
    <n v="50"/>
    <s v="Hubballi"/>
    <x v="2"/>
    <x v="2"/>
    <s v="B6547"/>
    <d v="2026-08-27T00:00:00"/>
    <n v="28"/>
    <n v="18"/>
    <n v="10"/>
    <n v="0.35714285714285715"/>
    <n v="2025"/>
    <x v="1"/>
  </r>
  <r>
    <n v="1314"/>
    <x v="52"/>
    <x v="10"/>
    <x v="5"/>
    <s v="GSK"/>
    <s v="Tablet"/>
    <s v="500 mg"/>
    <n v="1"/>
    <n v="22"/>
    <n v="32"/>
    <n v="5"/>
    <n v="12"/>
    <x v="0"/>
    <s v="Female"/>
    <n v="72"/>
    <s v="Hubballi"/>
    <x v="4"/>
    <x v="2"/>
    <s v="B6561"/>
    <d v="2026-06-03T00:00:00"/>
    <n v="32"/>
    <n v="22"/>
    <n v="10"/>
    <n v="0.3125"/>
    <n v="2025"/>
    <x v="8"/>
  </r>
  <r>
    <n v="1316"/>
    <x v="53"/>
    <x v="6"/>
    <x v="4"/>
    <s v="Torrent"/>
    <s v="Tablet"/>
    <s v="500 mg"/>
    <n v="1"/>
    <n v="80"/>
    <n v="110"/>
    <n v="5"/>
    <n v="12"/>
    <x v="1"/>
    <s v="Female"/>
    <n v="64"/>
    <s v="Mysuru"/>
    <x v="3"/>
    <x v="3"/>
    <s v="B3055"/>
    <d v="2026-03-08T00:00:00"/>
    <n v="110"/>
    <n v="80"/>
    <n v="30"/>
    <n v="0.27272727272727271"/>
    <n v="2025"/>
    <x v="6"/>
  </r>
  <r>
    <n v="1321"/>
    <x v="54"/>
    <x v="1"/>
    <x v="1"/>
    <s v="Glenmark"/>
    <s v="Tablet"/>
    <s v="40 mg"/>
    <n v="1"/>
    <n v="75"/>
    <n v="100"/>
    <n v="10"/>
    <n v="12"/>
    <x v="0"/>
    <s v="Female"/>
    <n v="36"/>
    <s v="Hubballi"/>
    <x v="4"/>
    <x v="4"/>
    <s v="B9413"/>
    <d v="2026-01-01T00:00:00"/>
    <n v="100"/>
    <n v="75"/>
    <n v="25"/>
    <n v="0.25"/>
    <n v="2025"/>
    <x v="3"/>
  </r>
  <r>
    <n v="1322"/>
    <x v="55"/>
    <x v="4"/>
    <x v="0"/>
    <s v="Cipla"/>
    <s v="Tablet"/>
    <s v="500 mg"/>
    <n v="1"/>
    <n v="90"/>
    <n v="120"/>
    <n v="0"/>
    <n v="12"/>
    <x v="2"/>
    <s v="Female"/>
    <n v="27"/>
    <s v="Mysuru"/>
    <x v="3"/>
    <x v="0"/>
    <s v="B9459"/>
    <d v="2026-01-31T00:00:00"/>
    <n v="120"/>
    <n v="90"/>
    <n v="30"/>
    <n v="0.25"/>
    <n v="2025"/>
    <x v="0"/>
  </r>
  <r>
    <n v="1324"/>
    <x v="56"/>
    <x v="8"/>
    <x v="6"/>
    <s v="USV"/>
    <s v="Tablet"/>
    <s v="500 mg"/>
    <n v="1"/>
    <n v="45"/>
    <n v="65"/>
    <n v="5"/>
    <n v="12"/>
    <x v="0"/>
    <s v="Female"/>
    <n v="61"/>
    <s v="Bengaluru"/>
    <x v="1"/>
    <x v="0"/>
    <s v="B7123"/>
    <d v="2028-03-23T00:00:00"/>
    <n v="65"/>
    <n v="45"/>
    <n v="20"/>
    <n v="0.30769230769230771"/>
    <n v="2025"/>
    <x v="10"/>
  </r>
  <r>
    <n v="1325"/>
    <x v="57"/>
    <x v="10"/>
    <x v="5"/>
    <s v="GSK"/>
    <s v="Tablet"/>
    <s v="500 mg"/>
    <n v="1"/>
    <n v="22"/>
    <n v="32"/>
    <n v="5"/>
    <n v="12"/>
    <x v="1"/>
    <s v="Female"/>
    <n v="45"/>
    <s v="Hubballi"/>
    <x v="3"/>
    <x v="3"/>
    <s v="B4547"/>
    <d v="2026-03-12T00:00:00"/>
    <n v="32"/>
    <n v="22"/>
    <n v="10"/>
    <n v="0.3125"/>
    <n v="2025"/>
    <x v="1"/>
  </r>
  <r>
    <n v="1339"/>
    <x v="58"/>
    <x v="7"/>
    <x v="5"/>
    <s v="Micro Labs"/>
    <s v="Tablet"/>
    <s v="650 mg"/>
    <n v="1"/>
    <n v="25"/>
    <n v="35"/>
    <n v="0"/>
    <n v="12"/>
    <x v="2"/>
    <s v="Male"/>
    <n v="34"/>
    <s v="Tumakuru"/>
    <x v="2"/>
    <x v="4"/>
    <s v="B9734"/>
    <d v="2028-02-18T00:00:00"/>
    <n v="35"/>
    <n v="25"/>
    <n v="10"/>
    <n v="0.2857142857142857"/>
    <n v="2025"/>
    <x v="4"/>
  </r>
  <r>
    <n v="1342"/>
    <x v="59"/>
    <x v="13"/>
    <x v="2"/>
    <s v="Pfizer"/>
    <s v="Capsule"/>
    <s v="NA"/>
    <n v="1"/>
    <n v="35"/>
    <n v="50"/>
    <n v="5"/>
    <n v="12"/>
    <x v="2"/>
    <s v="Male"/>
    <n v="60"/>
    <s v="Mysuru"/>
    <x v="1"/>
    <x v="4"/>
    <s v="B8239"/>
    <d v="2027-03-05T00:00:00"/>
    <n v="50"/>
    <n v="35"/>
    <n v="15"/>
    <n v="0.3"/>
    <n v="2025"/>
    <x v="6"/>
  </r>
  <r>
    <n v="1350"/>
    <x v="60"/>
    <x v="4"/>
    <x v="0"/>
    <s v="Cipla"/>
    <s v="Tablet"/>
    <s v="500 mg"/>
    <n v="1"/>
    <n v="90"/>
    <n v="120"/>
    <n v="5"/>
    <n v="12"/>
    <x v="0"/>
    <s v="Female"/>
    <n v="40"/>
    <s v="Tumakuru"/>
    <x v="2"/>
    <x v="0"/>
    <s v="B8758"/>
    <d v="2026-09-27T00:00:00"/>
    <n v="120"/>
    <n v="90"/>
    <n v="30"/>
    <n v="0.25"/>
    <n v="2025"/>
    <x v="9"/>
  </r>
  <r>
    <n v="1355"/>
    <x v="61"/>
    <x v="9"/>
    <x v="7"/>
    <s v="Sun Pharma"/>
    <s v="Tablet"/>
    <s v="40 mg"/>
    <n v="1"/>
    <n v="60"/>
    <n v="85"/>
    <n v="5"/>
    <n v="12"/>
    <x v="2"/>
    <s v="Male"/>
    <n v="51"/>
    <s v="Tumakuru"/>
    <x v="0"/>
    <x v="4"/>
    <s v="B8966"/>
    <d v="2026-11-03T00:00:00"/>
    <n v="85"/>
    <n v="60"/>
    <n v="25"/>
    <n v="0.29411764705882354"/>
    <n v="2025"/>
    <x v="6"/>
  </r>
  <r>
    <n v="1356"/>
    <x v="62"/>
    <x v="3"/>
    <x v="2"/>
    <s v="Abbott"/>
    <s v="Tablet"/>
    <s v="500 mg"/>
    <n v="1"/>
    <n v="18"/>
    <n v="28"/>
    <n v="0"/>
    <n v="12"/>
    <x v="0"/>
    <s v="Male"/>
    <n v="30"/>
    <s v="Bengaluru"/>
    <x v="3"/>
    <x v="3"/>
    <s v="B7014"/>
    <d v="2026-12-09T00:00:00"/>
    <n v="28"/>
    <n v="18"/>
    <n v="10"/>
    <n v="0.35714285714285715"/>
    <n v="2025"/>
    <x v="10"/>
  </r>
  <r>
    <n v="1357"/>
    <x v="63"/>
    <x v="3"/>
    <x v="2"/>
    <s v="Abbott"/>
    <s v="Tablet"/>
    <s v="500 mg"/>
    <n v="1"/>
    <n v="18"/>
    <n v="28"/>
    <n v="0"/>
    <n v="12"/>
    <x v="2"/>
    <s v="Female"/>
    <n v="23"/>
    <s v="Tumakuru"/>
    <x v="0"/>
    <x v="3"/>
    <s v="B7635"/>
    <d v="2026-05-20T00:00:00"/>
    <n v="28"/>
    <n v="18"/>
    <n v="10"/>
    <n v="0.35714285714285715"/>
    <n v="2025"/>
    <x v="4"/>
  </r>
  <r>
    <n v="1364"/>
    <x v="45"/>
    <x v="14"/>
    <x v="5"/>
    <s v="GSK"/>
    <s v="Tablet"/>
    <s v="650 mg"/>
    <n v="1"/>
    <n v="24"/>
    <n v="34"/>
    <n v="5"/>
    <n v="12"/>
    <x v="0"/>
    <s v="Female"/>
    <n v="34"/>
    <s v="Tumakuru"/>
    <x v="3"/>
    <x v="2"/>
    <s v="B9631"/>
    <d v="2027-01-18T00:00:00"/>
    <n v="34"/>
    <n v="24"/>
    <n v="10"/>
    <n v="0.29411764705882354"/>
    <n v="2025"/>
    <x v="11"/>
  </r>
  <r>
    <n v="1365"/>
    <x v="26"/>
    <x v="14"/>
    <x v="5"/>
    <s v="GSK"/>
    <s v="Tablet"/>
    <s v="650 mg"/>
    <n v="1"/>
    <n v="24"/>
    <n v="34"/>
    <n v="5"/>
    <n v="12"/>
    <x v="1"/>
    <s v="Female"/>
    <n v="20"/>
    <s v="Mysuru"/>
    <x v="1"/>
    <x v="2"/>
    <s v="B3091"/>
    <d v="2027-09-10T00:00:00"/>
    <n v="34"/>
    <n v="24"/>
    <n v="10"/>
    <n v="0.29411764705882354"/>
    <n v="2025"/>
    <x v="8"/>
  </r>
  <r>
    <n v="1369"/>
    <x v="64"/>
    <x v="8"/>
    <x v="6"/>
    <s v="USV"/>
    <s v="Tablet"/>
    <s v="500 mg"/>
    <n v="1"/>
    <n v="45"/>
    <n v="65"/>
    <n v="5"/>
    <n v="12"/>
    <x v="2"/>
    <s v="Male"/>
    <n v="50"/>
    <s v="Tumakuru"/>
    <x v="1"/>
    <x v="4"/>
    <s v="B7558"/>
    <d v="2027-06-24T00:00:00"/>
    <n v="65"/>
    <n v="45"/>
    <n v="20"/>
    <n v="0.30769230769230771"/>
    <n v="2025"/>
    <x v="4"/>
  </r>
  <r>
    <n v="1370"/>
    <x v="65"/>
    <x v="8"/>
    <x v="6"/>
    <s v="USV"/>
    <s v="Tablet"/>
    <s v="500 mg"/>
    <n v="1"/>
    <n v="45"/>
    <n v="65"/>
    <n v="5"/>
    <n v="12"/>
    <x v="0"/>
    <s v="Male"/>
    <n v="47"/>
    <s v="Hubballi"/>
    <x v="0"/>
    <x v="3"/>
    <s v="B6388"/>
    <d v="2026-08-31T00:00:00"/>
    <n v="65"/>
    <n v="45"/>
    <n v="20"/>
    <n v="0.30769230769230771"/>
    <n v="2025"/>
    <x v="2"/>
  </r>
  <r>
    <n v="1371"/>
    <x v="66"/>
    <x v="9"/>
    <x v="7"/>
    <s v="Sun Pharma"/>
    <s v="Tablet"/>
    <s v="40 mg"/>
    <n v="1"/>
    <n v="60"/>
    <n v="85"/>
    <n v="5"/>
    <n v="12"/>
    <x v="2"/>
    <s v="Male"/>
    <n v="64"/>
    <s v="Tumakuru"/>
    <x v="3"/>
    <x v="4"/>
    <s v="B3409"/>
    <d v="2027-01-21T00:00:00"/>
    <n v="85"/>
    <n v="60"/>
    <n v="25"/>
    <n v="0.29411764705882354"/>
    <n v="2025"/>
    <x v="2"/>
  </r>
  <r>
    <n v="1373"/>
    <x v="67"/>
    <x v="11"/>
    <x v="8"/>
    <s v="Sun Pharma"/>
    <s v="Tablet"/>
    <s v="NA"/>
    <n v="1"/>
    <n v="95"/>
    <n v="125"/>
    <n v="10"/>
    <n v="12"/>
    <x v="1"/>
    <s v="Male"/>
    <n v="68"/>
    <s v="Tumakuru"/>
    <x v="2"/>
    <x v="1"/>
    <s v="B4884"/>
    <d v="2026-10-19T00:00:00"/>
    <n v="125"/>
    <n v="95"/>
    <n v="30"/>
    <n v="0.24"/>
    <n v="2025"/>
    <x v="7"/>
  </r>
  <r>
    <n v="1376"/>
    <x v="68"/>
    <x v="3"/>
    <x v="2"/>
    <s v="Abbott"/>
    <s v="Tablet"/>
    <s v="500 mg"/>
    <n v="1"/>
    <n v="18"/>
    <n v="28"/>
    <n v="0"/>
    <n v="12"/>
    <x v="0"/>
    <s v="Male"/>
    <n v="28"/>
    <s v="Mysuru"/>
    <x v="3"/>
    <x v="0"/>
    <s v="B5827"/>
    <d v="2027-04-04T00:00:00"/>
    <n v="28"/>
    <n v="18"/>
    <n v="10"/>
    <n v="0.35714285714285715"/>
    <n v="2025"/>
    <x v="5"/>
  </r>
  <r>
    <n v="1381"/>
    <x v="46"/>
    <x v="8"/>
    <x v="6"/>
    <s v="USV"/>
    <s v="Tablet"/>
    <s v="500 mg"/>
    <n v="1"/>
    <n v="45"/>
    <n v="65"/>
    <n v="0"/>
    <n v="12"/>
    <x v="2"/>
    <s v="Female"/>
    <n v="28"/>
    <s v="Bengaluru"/>
    <x v="2"/>
    <x v="3"/>
    <s v="B5530"/>
    <d v="2026-09-27T00:00:00"/>
    <n v="65"/>
    <n v="45"/>
    <n v="20"/>
    <n v="0.30769230769230771"/>
    <n v="2025"/>
    <x v="8"/>
  </r>
  <r>
    <n v="1384"/>
    <x v="69"/>
    <x v="10"/>
    <x v="5"/>
    <s v="GSK"/>
    <s v="Tablet"/>
    <s v="500 mg"/>
    <n v="1"/>
    <n v="22"/>
    <n v="32"/>
    <n v="0"/>
    <n v="12"/>
    <x v="0"/>
    <s v="Male"/>
    <n v="36"/>
    <s v="Bengaluru"/>
    <x v="0"/>
    <x v="3"/>
    <s v="B9532"/>
    <d v="2027-01-17T00:00:00"/>
    <n v="32"/>
    <n v="22"/>
    <n v="10"/>
    <n v="0.3125"/>
    <n v="2025"/>
    <x v="7"/>
  </r>
  <r>
    <n v="1385"/>
    <x v="70"/>
    <x v="0"/>
    <x v="0"/>
    <s v="GSK"/>
    <s v="Tablet"/>
    <s v="625 mg"/>
    <n v="1"/>
    <n v="140"/>
    <n v="180"/>
    <n v="10"/>
    <n v="12"/>
    <x v="0"/>
    <s v="Male"/>
    <n v="58"/>
    <s v="Tumakuru"/>
    <x v="3"/>
    <x v="0"/>
    <s v="B4186"/>
    <d v="2027-11-26T00:00:00"/>
    <n v="180"/>
    <n v="140"/>
    <n v="40"/>
    <n v="0.22222222222222221"/>
    <n v="2025"/>
    <x v="11"/>
  </r>
  <r>
    <n v="1409"/>
    <x v="71"/>
    <x v="13"/>
    <x v="2"/>
    <s v="Pfizer"/>
    <s v="Capsule"/>
    <s v="NA"/>
    <n v="1"/>
    <n v="35"/>
    <n v="50"/>
    <n v="10"/>
    <n v="12"/>
    <x v="1"/>
    <s v="Female"/>
    <n v="71"/>
    <s v="Hubballi"/>
    <x v="4"/>
    <x v="2"/>
    <s v="B9254"/>
    <d v="2025-10-30T00:00:00"/>
    <n v="50"/>
    <n v="35"/>
    <n v="15"/>
    <n v="0.3"/>
    <n v="2025"/>
    <x v="3"/>
  </r>
  <r>
    <n v="1412"/>
    <x v="72"/>
    <x v="13"/>
    <x v="2"/>
    <s v="Pfizer"/>
    <s v="Capsule"/>
    <s v="NA"/>
    <n v="1"/>
    <n v="35"/>
    <n v="50"/>
    <n v="10"/>
    <n v="12"/>
    <x v="2"/>
    <s v="Female"/>
    <n v="33"/>
    <s v="Bengaluru"/>
    <x v="2"/>
    <x v="3"/>
    <s v="B2616"/>
    <d v="2027-10-25T00:00:00"/>
    <n v="50"/>
    <n v="35"/>
    <n v="15"/>
    <n v="0.3"/>
    <n v="2025"/>
    <x v="2"/>
  </r>
  <r>
    <n v="1415"/>
    <x v="73"/>
    <x v="2"/>
    <x v="2"/>
    <s v="Merck"/>
    <s v="Capsule"/>
    <s v="400 mg"/>
    <n v="1"/>
    <n v="25"/>
    <n v="38"/>
    <n v="5"/>
    <n v="12"/>
    <x v="0"/>
    <s v="Female"/>
    <n v="57"/>
    <s v="Hubballi"/>
    <x v="2"/>
    <x v="0"/>
    <s v="B5000"/>
    <d v="2026-12-17T00:00:00"/>
    <n v="38"/>
    <n v="25"/>
    <n v="13"/>
    <n v="0.34210526315789475"/>
    <n v="2025"/>
    <x v="5"/>
  </r>
  <r>
    <n v="1428"/>
    <x v="74"/>
    <x v="7"/>
    <x v="5"/>
    <s v="Micro Labs"/>
    <s v="Tablet"/>
    <s v="650 mg"/>
    <n v="1"/>
    <n v="25"/>
    <n v="35"/>
    <n v="10"/>
    <n v="12"/>
    <x v="2"/>
    <s v="Male"/>
    <n v="59"/>
    <s v="Bengaluru"/>
    <x v="2"/>
    <x v="3"/>
    <s v="B3327"/>
    <d v="2026-06-20T00:00:00"/>
    <n v="35"/>
    <n v="25"/>
    <n v="10"/>
    <n v="0.2857142857142857"/>
    <n v="2025"/>
    <x v="4"/>
  </r>
  <r>
    <n v="1429"/>
    <x v="75"/>
    <x v="3"/>
    <x v="2"/>
    <s v="Abbott"/>
    <s v="Tablet"/>
    <s v="500 mg"/>
    <n v="1"/>
    <n v="18"/>
    <n v="28"/>
    <n v="10"/>
    <n v="12"/>
    <x v="0"/>
    <s v="Female"/>
    <n v="18"/>
    <s v="Mysuru"/>
    <x v="1"/>
    <x v="4"/>
    <s v="B6413"/>
    <d v="2025-11-14T00:00:00"/>
    <n v="28"/>
    <n v="18"/>
    <n v="10"/>
    <n v="0.35714285714285715"/>
    <n v="2025"/>
    <x v="9"/>
  </r>
  <r>
    <n v="1432"/>
    <x v="74"/>
    <x v="14"/>
    <x v="5"/>
    <s v="GSK"/>
    <s v="Tablet"/>
    <s v="650 mg"/>
    <n v="1"/>
    <n v="24"/>
    <n v="34"/>
    <n v="0"/>
    <n v="12"/>
    <x v="0"/>
    <s v="Female"/>
    <n v="75"/>
    <s v="Hubballi"/>
    <x v="3"/>
    <x v="1"/>
    <s v="B6433"/>
    <d v="2028-03-25T00:00:00"/>
    <n v="34"/>
    <n v="24"/>
    <n v="10"/>
    <n v="0.29411764705882354"/>
    <n v="2025"/>
    <x v="4"/>
  </r>
  <r>
    <n v="1442"/>
    <x v="76"/>
    <x v="4"/>
    <x v="0"/>
    <s v="Cipla"/>
    <s v="Tablet"/>
    <s v="500 mg"/>
    <n v="1"/>
    <n v="90"/>
    <n v="120"/>
    <n v="0"/>
    <n v="12"/>
    <x v="0"/>
    <s v="Female"/>
    <n v="71"/>
    <s v="Tumakuru"/>
    <x v="2"/>
    <x v="3"/>
    <s v="B7900"/>
    <d v="2027-03-20T00:00:00"/>
    <n v="120"/>
    <n v="90"/>
    <n v="30"/>
    <n v="0.25"/>
    <n v="2025"/>
    <x v="11"/>
  </r>
  <r>
    <n v="1449"/>
    <x v="77"/>
    <x v="11"/>
    <x v="8"/>
    <s v="Sun Pharma"/>
    <s v="Tablet"/>
    <s v="NA"/>
    <n v="1"/>
    <n v="95"/>
    <n v="125"/>
    <n v="0"/>
    <n v="12"/>
    <x v="1"/>
    <s v="Male"/>
    <n v="47"/>
    <s v="Hubballi"/>
    <x v="1"/>
    <x v="3"/>
    <s v="B7295"/>
    <d v="2028-01-06T00:00:00"/>
    <n v="125"/>
    <n v="95"/>
    <n v="30"/>
    <n v="0.24"/>
    <n v="2025"/>
    <x v="2"/>
  </r>
  <r>
    <n v="1454"/>
    <x v="78"/>
    <x v="8"/>
    <x v="6"/>
    <s v="USV"/>
    <s v="Tablet"/>
    <s v="500 mg"/>
    <n v="1"/>
    <n v="45"/>
    <n v="65"/>
    <n v="5"/>
    <n v="12"/>
    <x v="0"/>
    <s v="Male"/>
    <n v="53"/>
    <s v="Bengaluru"/>
    <x v="2"/>
    <x v="1"/>
    <s v="B1049"/>
    <d v="2027-04-03T00:00:00"/>
    <n v="65"/>
    <n v="45"/>
    <n v="20"/>
    <n v="0.30769230769230771"/>
    <n v="2025"/>
    <x v="0"/>
  </r>
  <r>
    <n v="1455"/>
    <x v="79"/>
    <x v="1"/>
    <x v="1"/>
    <s v="Glenmark"/>
    <s v="Tablet"/>
    <s v="40 mg"/>
    <n v="1"/>
    <n v="75"/>
    <n v="100"/>
    <n v="5"/>
    <n v="12"/>
    <x v="0"/>
    <s v="Male"/>
    <n v="33"/>
    <s v="Tumakuru"/>
    <x v="2"/>
    <x v="4"/>
    <s v="B9715"/>
    <d v="2026-11-09T00:00:00"/>
    <n v="100"/>
    <n v="75"/>
    <n v="25"/>
    <n v="0.25"/>
    <n v="2025"/>
    <x v="5"/>
  </r>
  <r>
    <n v="1462"/>
    <x v="80"/>
    <x v="7"/>
    <x v="5"/>
    <s v="Micro Labs"/>
    <s v="Tablet"/>
    <s v="650 mg"/>
    <n v="1"/>
    <n v="25"/>
    <n v="35"/>
    <n v="10"/>
    <n v="12"/>
    <x v="0"/>
    <s v="Male"/>
    <n v="36"/>
    <s v="Tumakuru"/>
    <x v="2"/>
    <x v="4"/>
    <s v="B7786"/>
    <d v="2026-07-12T00:00:00"/>
    <n v="35"/>
    <n v="25"/>
    <n v="10"/>
    <n v="0.2857142857142857"/>
    <n v="2025"/>
    <x v="4"/>
  </r>
  <r>
    <n v="1465"/>
    <x v="81"/>
    <x v="13"/>
    <x v="2"/>
    <s v="Pfizer"/>
    <s v="Capsule"/>
    <s v="NA"/>
    <n v="1"/>
    <n v="35"/>
    <n v="50"/>
    <n v="10"/>
    <n v="12"/>
    <x v="0"/>
    <s v="Male"/>
    <n v="72"/>
    <s v="Hubballi"/>
    <x v="0"/>
    <x v="3"/>
    <s v="B4780"/>
    <d v="2026-03-18T00:00:00"/>
    <n v="50"/>
    <n v="35"/>
    <n v="15"/>
    <n v="0.3"/>
    <n v="2025"/>
    <x v="9"/>
  </r>
  <r>
    <n v="1468"/>
    <x v="9"/>
    <x v="7"/>
    <x v="5"/>
    <s v="Micro Labs"/>
    <s v="Tablet"/>
    <s v="650 mg"/>
    <n v="1"/>
    <n v="25"/>
    <n v="35"/>
    <n v="0"/>
    <n v="12"/>
    <x v="2"/>
    <s v="Male"/>
    <n v="64"/>
    <s v="Bengaluru"/>
    <x v="0"/>
    <x v="3"/>
    <s v="B9557"/>
    <d v="2027-10-18T00:00:00"/>
    <n v="35"/>
    <n v="25"/>
    <n v="10"/>
    <n v="0.2857142857142857"/>
    <n v="2025"/>
    <x v="5"/>
  </r>
  <r>
    <n v="1476"/>
    <x v="82"/>
    <x v="11"/>
    <x v="8"/>
    <s v="Sun Pharma"/>
    <s v="Tablet"/>
    <s v="NA"/>
    <n v="1"/>
    <n v="95"/>
    <n v="125"/>
    <n v="5"/>
    <n v="12"/>
    <x v="0"/>
    <s v="Female"/>
    <n v="34"/>
    <s v="Tumakuru"/>
    <x v="3"/>
    <x v="3"/>
    <s v="B2753"/>
    <d v="2026-10-04T00:00:00"/>
    <n v="125"/>
    <n v="95"/>
    <n v="30"/>
    <n v="0.24"/>
    <n v="2025"/>
    <x v="11"/>
  </r>
  <r>
    <n v="1477"/>
    <x v="83"/>
    <x v="0"/>
    <x v="0"/>
    <s v="GSK"/>
    <s v="Tablet"/>
    <s v="625 mg"/>
    <n v="1"/>
    <n v="140"/>
    <n v="180"/>
    <n v="0"/>
    <n v="12"/>
    <x v="1"/>
    <s v="Male"/>
    <n v="51"/>
    <s v="Bengaluru"/>
    <x v="4"/>
    <x v="1"/>
    <s v="B4093"/>
    <d v="2026-12-17T00:00:00"/>
    <n v="180"/>
    <n v="140"/>
    <n v="40"/>
    <n v="0.22222222222222221"/>
    <n v="2025"/>
    <x v="2"/>
  </r>
  <r>
    <n v="1480"/>
    <x v="84"/>
    <x v="8"/>
    <x v="6"/>
    <s v="USV"/>
    <s v="Tablet"/>
    <s v="500 mg"/>
    <n v="1"/>
    <n v="45"/>
    <n v="65"/>
    <n v="0"/>
    <n v="12"/>
    <x v="2"/>
    <s v="Male"/>
    <n v="70"/>
    <s v="Mysuru"/>
    <x v="3"/>
    <x v="3"/>
    <s v="B3231"/>
    <d v="2027-01-31T00:00:00"/>
    <n v="65"/>
    <n v="45"/>
    <n v="20"/>
    <n v="0.30769230769230771"/>
    <n v="2025"/>
    <x v="0"/>
  </r>
  <r>
    <n v="1490"/>
    <x v="85"/>
    <x v="7"/>
    <x v="5"/>
    <s v="Micro Labs"/>
    <s v="Tablet"/>
    <s v="650 mg"/>
    <n v="1"/>
    <n v="25"/>
    <n v="35"/>
    <n v="5"/>
    <n v="12"/>
    <x v="0"/>
    <s v="Female"/>
    <n v="39"/>
    <s v="Mysuru"/>
    <x v="0"/>
    <x v="3"/>
    <s v="B9368"/>
    <d v="2026-03-22T00:00:00"/>
    <n v="35"/>
    <n v="25"/>
    <n v="10"/>
    <n v="0.2857142857142857"/>
    <n v="2025"/>
    <x v="2"/>
  </r>
  <r>
    <n v="1494"/>
    <x v="23"/>
    <x v="9"/>
    <x v="7"/>
    <s v="Sun Pharma"/>
    <s v="Tablet"/>
    <s v="40 mg"/>
    <n v="1"/>
    <n v="60"/>
    <n v="85"/>
    <n v="10"/>
    <n v="12"/>
    <x v="0"/>
    <s v="Male"/>
    <n v="24"/>
    <s v="Tumakuru"/>
    <x v="2"/>
    <x v="1"/>
    <s v="B7777"/>
    <d v="2026-11-25T00:00:00"/>
    <n v="85"/>
    <n v="60"/>
    <n v="25"/>
    <n v="0.29411764705882354"/>
    <n v="2025"/>
    <x v="9"/>
  </r>
  <r>
    <n v="1501"/>
    <x v="86"/>
    <x v="5"/>
    <x v="3"/>
    <s v="USV"/>
    <s v="Tablet"/>
    <s v="75 mg"/>
    <n v="1"/>
    <n v="12"/>
    <n v="20"/>
    <n v="10"/>
    <n v="12"/>
    <x v="2"/>
    <s v="Male"/>
    <n v="51"/>
    <s v="Mysuru"/>
    <x v="3"/>
    <x v="3"/>
    <s v="B5454"/>
    <d v="2027-05-19T00:00:00"/>
    <n v="20"/>
    <n v="12"/>
    <n v="8"/>
    <n v="0.4"/>
    <n v="2025"/>
    <x v="3"/>
  </r>
  <r>
    <n v="1002"/>
    <x v="87"/>
    <x v="9"/>
    <x v="7"/>
    <s v="Sun Pharma"/>
    <s v="Tablet"/>
    <s v="40 mg"/>
    <n v="2"/>
    <n v="60"/>
    <n v="85"/>
    <n v="5"/>
    <n v="12"/>
    <x v="1"/>
    <s v="Male"/>
    <n v="70"/>
    <s v="Hubballi"/>
    <x v="4"/>
    <x v="2"/>
    <s v="B6889"/>
    <d v="2026-12-12T00:00:00"/>
    <n v="170"/>
    <n v="120"/>
    <n v="50"/>
    <n v="0.29411764705882354"/>
    <n v="2025"/>
    <x v="1"/>
  </r>
  <r>
    <n v="1005"/>
    <x v="36"/>
    <x v="13"/>
    <x v="2"/>
    <s v="Pfizer"/>
    <s v="Capsule"/>
    <s v="NA"/>
    <n v="2"/>
    <n v="35"/>
    <n v="50"/>
    <n v="10"/>
    <n v="12"/>
    <x v="0"/>
    <s v="Female"/>
    <n v="72"/>
    <s v="Bengaluru"/>
    <x v="2"/>
    <x v="1"/>
    <s v="B1170"/>
    <d v="2026-10-08T00:00:00"/>
    <n v="100"/>
    <n v="70"/>
    <n v="30"/>
    <n v="0.3"/>
    <n v="2025"/>
    <x v="3"/>
  </r>
  <r>
    <n v="1007"/>
    <x v="88"/>
    <x v="5"/>
    <x v="3"/>
    <s v="USV"/>
    <s v="Tablet"/>
    <s v="75 mg"/>
    <n v="2"/>
    <n v="12"/>
    <n v="20"/>
    <n v="10"/>
    <n v="12"/>
    <x v="2"/>
    <s v="Male"/>
    <n v="64"/>
    <s v="Tumakuru"/>
    <x v="2"/>
    <x v="0"/>
    <s v="B2928"/>
    <d v="2026-01-18T00:00:00"/>
    <n v="40"/>
    <n v="24"/>
    <n v="16"/>
    <n v="0.4"/>
    <n v="2025"/>
    <x v="8"/>
  </r>
  <r>
    <n v="1011"/>
    <x v="33"/>
    <x v="9"/>
    <x v="7"/>
    <s v="Sun Pharma"/>
    <s v="Tablet"/>
    <s v="40 mg"/>
    <n v="2"/>
    <n v="60"/>
    <n v="85"/>
    <n v="0"/>
    <n v="12"/>
    <x v="0"/>
    <s v="Female"/>
    <n v="45"/>
    <s v="Hubballi"/>
    <x v="0"/>
    <x v="1"/>
    <s v="B2949"/>
    <d v="2026-06-03T00:00:00"/>
    <n v="170"/>
    <n v="120"/>
    <n v="50"/>
    <n v="0.29411764705882354"/>
    <n v="2025"/>
    <x v="8"/>
  </r>
  <r>
    <n v="1012"/>
    <x v="89"/>
    <x v="9"/>
    <x v="7"/>
    <s v="Sun Pharma"/>
    <s v="Tablet"/>
    <s v="40 mg"/>
    <n v="2"/>
    <n v="60"/>
    <n v="85"/>
    <n v="10"/>
    <n v="12"/>
    <x v="1"/>
    <s v="Female"/>
    <n v="37"/>
    <s v="Mysuru"/>
    <x v="0"/>
    <x v="1"/>
    <s v="B5877"/>
    <d v="2027-04-10T00:00:00"/>
    <n v="170"/>
    <n v="120"/>
    <n v="50"/>
    <n v="0.29411764705882354"/>
    <n v="2025"/>
    <x v="5"/>
  </r>
  <r>
    <n v="1014"/>
    <x v="90"/>
    <x v="14"/>
    <x v="5"/>
    <s v="GSK"/>
    <s v="Tablet"/>
    <s v="650 mg"/>
    <n v="2"/>
    <n v="24"/>
    <n v="34"/>
    <n v="5"/>
    <n v="12"/>
    <x v="0"/>
    <s v="Female"/>
    <n v="71"/>
    <s v="Mysuru"/>
    <x v="0"/>
    <x v="2"/>
    <s v="B7079"/>
    <d v="2026-08-21T00:00:00"/>
    <n v="68"/>
    <n v="48"/>
    <n v="20"/>
    <n v="0.29411764705882354"/>
    <n v="2025"/>
    <x v="3"/>
  </r>
  <r>
    <n v="1016"/>
    <x v="91"/>
    <x v="8"/>
    <x v="6"/>
    <s v="USV"/>
    <s v="Tablet"/>
    <s v="500 mg"/>
    <n v="2"/>
    <n v="45"/>
    <n v="65"/>
    <n v="10"/>
    <n v="12"/>
    <x v="0"/>
    <s v="Male"/>
    <n v="22"/>
    <s v="Hubballi"/>
    <x v="2"/>
    <x v="4"/>
    <s v="B7408"/>
    <d v="2026-11-02T00:00:00"/>
    <n v="130"/>
    <n v="90"/>
    <n v="40"/>
    <n v="0.30769230769230771"/>
    <n v="2025"/>
    <x v="7"/>
  </r>
  <r>
    <n v="1023"/>
    <x v="92"/>
    <x v="1"/>
    <x v="1"/>
    <s v="Glenmark"/>
    <s v="Tablet"/>
    <s v="40 mg"/>
    <n v="2"/>
    <n v="75"/>
    <n v="100"/>
    <n v="10"/>
    <n v="12"/>
    <x v="0"/>
    <s v="Female"/>
    <n v="23"/>
    <s v="Hubballi"/>
    <x v="0"/>
    <x v="0"/>
    <s v="B4996"/>
    <d v="2026-02-13T00:00:00"/>
    <n v="200"/>
    <n v="150"/>
    <n v="50"/>
    <n v="0.25"/>
    <n v="2025"/>
    <x v="9"/>
  </r>
  <r>
    <n v="1030"/>
    <x v="93"/>
    <x v="14"/>
    <x v="5"/>
    <s v="GSK"/>
    <s v="Tablet"/>
    <s v="650 mg"/>
    <n v="2"/>
    <n v="24"/>
    <n v="34"/>
    <n v="0"/>
    <n v="12"/>
    <x v="0"/>
    <s v="Female"/>
    <n v="31"/>
    <s v="Mysuru"/>
    <x v="1"/>
    <x v="1"/>
    <s v="B2221"/>
    <d v="2026-03-03T00:00:00"/>
    <n v="68"/>
    <n v="48"/>
    <n v="20"/>
    <n v="0.29411764705882354"/>
    <n v="2025"/>
    <x v="3"/>
  </r>
  <r>
    <n v="1031"/>
    <x v="94"/>
    <x v="5"/>
    <x v="3"/>
    <s v="USV"/>
    <s v="Tablet"/>
    <s v="75 mg"/>
    <n v="2"/>
    <n v="12"/>
    <n v="20"/>
    <n v="10"/>
    <n v="12"/>
    <x v="2"/>
    <s v="Female"/>
    <n v="36"/>
    <s v="Bengaluru"/>
    <x v="1"/>
    <x v="2"/>
    <s v="B2493"/>
    <d v="2027-06-18T00:00:00"/>
    <n v="40"/>
    <n v="24"/>
    <n v="16"/>
    <n v="0.4"/>
    <n v="2025"/>
    <x v="6"/>
  </r>
  <r>
    <n v="1036"/>
    <x v="95"/>
    <x v="4"/>
    <x v="0"/>
    <s v="Cipla"/>
    <s v="Tablet"/>
    <s v="500 mg"/>
    <n v="2"/>
    <n v="90"/>
    <n v="120"/>
    <n v="0"/>
    <n v="12"/>
    <x v="1"/>
    <s v="Female"/>
    <n v="75"/>
    <s v="Tumakuru"/>
    <x v="2"/>
    <x v="2"/>
    <s v="B6637"/>
    <d v="2026-03-30T00:00:00"/>
    <n v="240"/>
    <n v="180"/>
    <n v="60"/>
    <n v="0.25"/>
    <n v="2025"/>
    <x v="1"/>
  </r>
  <r>
    <n v="1042"/>
    <x v="96"/>
    <x v="6"/>
    <x v="4"/>
    <s v="Torrent"/>
    <s v="Tablet"/>
    <s v="500 mg"/>
    <n v="2"/>
    <n v="80"/>
    <n v="110"/>
    <n v="10"/>
    <n v="12"/>
    <x v="1"/>
    <s v="Male"/>
    <n v="72"/>
    <s v="Tumakuru"/>
    <x v="0"/>
    <x v="2"/>
    <s v="B2012"/>
    <d v="2025-11-12T00:00:00"/>
    <n v="220"/>
    <n v="160"/>
    <n v="60"/>
    <n v="0.27272727272727271"/>
    <n v="2025"/>
    <x v="8"/>
  </r>
  <r>
    <n v="1052"/>
    <x v="97"/>
    <x v="14"/>
    <x v="5"/>
    <s v="GSK"/>
    <s v="Tablet"/>
    <s v="650 mg"/>
    <n v="2"/>
    <n v="24"/>
    <n v="34"/>
    <n v="0"/>
    <n v="12"/>
    <x v="0"/>
    <s v="Male"/>
    <n v="60"/>
    <s v="Mysuru"/>
    <x v="4"/>
    <x v="2"/>
    <s v="B4179"/>
    <d v="2027-01-04T00:00:00"/>
    <n v="68"/>
    <n v="48"/>
    <n v="20"/>
    <n v="0.29411764705882354"/>
    <n v="2025"/>
    <x v="1"/>
  </r>
  <r>
    <n v="1055"/>
    <x v="98"/>
    <x v="1"/>
    <x v="1"/>
    <s v="Glenmark"/>
    <s v="Tablet"/>
    <s v="40 mg"/>
    <n v="2"/>
    <n v="75"/>
    <n v="100"/>
    <n v="5"/>
    <n v="12"/>
    <x v="1"/>
    <s v="Female"/>
    <n v="30"/>
    <s v="Bengaluru"/>
    <x v="2"/>
    <x v="1"/>
    <s v="B7123"/>
    <d v="2027-12-27T00:00:00"/>
    <n v="200"/>
    <n v="150"/>
    <n v="50"/>
    <n v="0.25"/>
    <n v="2025"/>
    <x v="0"/>
  </r>
  <r>
    <n v="1059"/>
    <x v="1"/>
    <x v="6"/>
    <x v="4"/>
    <s v="Torrent"/>
    <s v="Tablet"/>
    <s v="500 mg"/>
    <n v="2"/>
    <n v="80"/>
    <n v="110"/>
    <n v="0"/>
    <n v="12"/>
    <x v="2"/>
    <s v="Male"/>
    <n v="59"/>
    <s v="Mysuru"/>
    <x v="2"/>
    <x v="2"/>
    <s v="B1712"/>
    <d v="2027-06-23T00:00:00"/>
    <n v="220"/>
    <n v="160"/>
    <n v="60"/>
    <n v="0.27272727272727271"/>
    <n v="2025"/>
    <x v="1"/>
  </r>
  <r>
    <n v="1064"/>
    <x v="99"/>
    <x v="5"/>
    <x v="3"/>
    <s v="USV"/>
    <s v="Tablet"/>
    <s v="75 mg"/>
    <n v="2"/>
    <n v="12"/>
    <n v="20"/>
    <n v="10"/>
    <n v="12"/>
    <x v="2"/>
    <s v="Male"/>
    <n v="51"/>
    <s v="Mysuru"/>
    <x v="3"/>
    <x v="2"/>
    <s v="B6206"/>
    <d v="2026-03-03T00:00:00"/>
    <n v="40"/>
    <n v="24"/>
    <n v="16"/>
    <n v="0.4"/>
    <n v="2025"/>
    <x v="7"/>
  </r>
  <r>
    <n v="1065"/>
    <x v="100"/>
    <x v="11"/>
    <x v="8"/>
    <s v="Sun Pharma"/>
    <s v="Tablet"/>
    <s v="NA"/>
    <n v="2"/>
    <n v="95"/>
    <n v="125"/>
    <n v="10"/>
    <n v="12"/>
    <x v="0"/>
    <s v="Male"/>
    <n v="52"/>
    <s v="Hubballi"/>
    <x v="1"/>
    <x v="4"/>
    <s v="B2281"/>
    <d v="2026-10-23T00:00:00"/>
    <n v="250"/>
    <n v="190"/>
    <n v="60"/>
    <n v="0.24"/>
    <n v="2025"/>
    <x v="10"/>
  </r>
  <r>
    <n v="1068"/>
    <x v="95"/>
    <x v="7"/>
    <x v="5"/>
    <s v="Micro Labs"/>
    <s v="Tablet"/>
    <s v="650 mg"/>
    <n v="2"/>
    <n v="25"/>
    <n v="35"/>
    <n v="10"/>
    <n v="12"/>
    <x v="0"/>
    <s v="Male"/>
    <n v="30"/>
    <s v="Tumakuru"/>
    <x v="1"/>
    <x v="2"/>
    <s v="B1281"/>
    <d v="2026-07-24T00:00:00"/>
    <n v="70"/>
    <n v="50"/>
    <n v="20"/>
    <n v="0.2857142857142857"/>
    <n v="2025"/>
    <x v="1"/>
  </r>
  <r>
    <n v="1069"/>
    <x v="101"/>
    <x v="11"/>
    <x v="8"/>
    <s v="Sun Pharma"/>
    <s v="Tablet"/>
    <s v="NA"/>
    <n v="2"/>
    <n v="95"/>
    <n v="125"/>
    <n v="5"/>
    <n v="12"/>
    <x v="1"/>
    <s v="Female"/>
    <n v="72"/>
    <s v="Hubballi"/>
    <x v="0"/>
    <x v="3"/>
    <s v="B9832"/>
    <d v="2026-04-18T00:00:00"/>
    <n v="250"/>
    <n v="190"/>
    <n v="60"/>
    <n v="0.24"/>
    <n v="2025"/>
    <x v="4"/>
  </r>
  <r>
    <n v="1074"/>
    <x v="102"/>
    <x v="0"/>
    <x v="0"/>
    <s v="GSK"/>
    <s v="Tablet"/>
    <s v="625 mg"/>
    <n v="2"/>
    <n v="140"/>
    <n v="180"/>
    <n v="10"/>
    <n v="12"/>
    <x v="0"/>
    <s v="Male"/>
    <n v="48"/>
    <s v="Mysuru"/>
    <x v="0"/>
    <x v="3"/>
    <s v="B9027"/>
    <d v="2027-01-09T00:00:00"/>
    <n v="360"/>
    <n v="280"/>
    <n v="80"/>
    <n v="0.22222222222222221"/>
    <n v="2025"/>
    <x v="3"/>
  </r>
  <r>
    <n v="1079"/>
    <x v="47"/>
    <x v="6"/>
    <x v="4"/>
    <s v="Torrent"/>
    <s v="Tablet"/>
    <s v="500 mg"/>
    <n v="2"/>
    <n v="80"/>
    <n v="110"/>
    <n v="5"/>
    <n v="12"/>
    <x v="2"/>
    <s v="Female"/>
    <n v="53"/>
    <s v="Bengaluru"/>
    <x v="2"/>
    <x v="1"/>
    <s v="B7712"/>
    <d v="2025-11-24T00:00:00"/>
    <n v="220"/>
    <n v="160"/>
    <n v="60"/>
    <n v="0.27272727272727271"/>
    <n v="2025"/>
    <x v="8"/>
  </r>
  <r>
    <n v="1081"/>
    <x v="103"/>
    <x v="9"/>
    <x v="7"/>
    <s v="Sun Pharma"/>
    <s v="Tablet"/>
    <s v="40 mg"/>
    <n v="2"/>
    <n v="60"/>
    <n v="85"/>
    <n v="0"/>
    <n v="12"/>
    <x v="1"/>
    <s v="Male"/>
    <n v="26"/>
    <s v="Mysuru"/>
    <x v="1"/>
    <x v="1"/>
    <s v="B2491"/>
    <d v="2026-05-03T00:00:00"/>
    <n v="170"/>
    <n v="120"/>
    <n v="50"/>
    <n v="0.29411764705882354"/>
    <n v="2025"/>
    <x v="11"/>
  </r>
  <r>
    <n v="1105"/>
    <x v="13"/>
    <x v="4"/>
    <x v="0"/>
    <s v="Cipla"/>
    <s v="Tablet"/>
    <s v="500 mg"/>
    <n v="2"/>
    <n v="90"/>
    <n v="120"/>
    <n v="10"/>
    <n v="12"/>
    <x v="0"/>
    <s v="Female"/>
    <n v="18"/>
    <s v="Hubballi"/>
    <x v="3"/>
    <x v="2"/>
    <s v="B8328"/>
    <d v="2027-07-28T00:00:00"/>
    <n v="240"/>
    <n v="180"/>
    <n v="60"/>
    <n v="0.25"/>
    <n v="2025"/>
    <x v="2"/>
  </r>
  <r>
    <n v="1107"/>
    <x v="104"/>
    <x v="12"/>
    <x v="7"/>
    <s v="Alkem"/>
    <s v="Capsule"/>
    <s v="40 mg"/>
    <n v="2"/>
    <n v="70"/>
    <n v="95"/>
    <n v="5"/>
    <n v="12"/>
    <x v="1"/>
    <s v="Male"/>
    <n v="28"/>
    <s v="Tumakuru"/>
    <x v="4"/>
    <x v="0"/>
    <s v="B1780"/>
    <d v="2027-03-28T00:00:00"/>
    <n v="190"/>
    <n v="140"/>
    <n v="50"/>
    <n v="0.26315789473684209"/>
    <n v="2025"/>
    <x v="1"/>
  </r>
  <r>
    <n v="1112"/>
    <x v="94"/>
    <x v="11"/>
    <x v="8"/>
    <s v="Sun Pharma"/>
    <s v="Tablet"/>
    <s v="NA"/>
    <n v="2"/>
    <n v="95"/>
    <n v="125"/>
    <n v="5"/>
    <n v="12"/>
    <x v="2"/>
    <s v="Female"/>
    <n v="31"/>
    <s v="Hubballi"/>
    <x v="3"/>
    <x v="0"/>
    <s v="B2216"/>
    <d v="2026-07-10T00:00:00"/>
    <n v="250"/>
    <n v="190"/>
    <n v="60"/>
    <n v="0.24"/>
    <n v="2025"/>
    <x v="6"/>
  </r>
  <r>
    <n v="1114"/>
    <x v="105"/>
    <x v="1"/>
    <x v="1"/>
    <s v="Glenmark"/>
    <s v="Tablet"/>
    <s v="40 mg"/>
    <n v="2"/>
    <n v="75"/>
    <n v="100"/>
    <n v="0"/>
    <n v="12"/>
    <x v="2"/>
    <s v="Male"/>
    <n v="58"/>
    <s v="Hubballi"/>
    <x v="1"/>
    <x v="0"/>
    <s v="B1745"/>
    <d v="2026-10-26T00:00:00"/>
    <n v="200"/>
    <n v="150"/>
    <n v="50"/>
    <n v="0.25"/>
    <n v="2025"/>
    <x v="5"/>
  </r>
  <r>
    <n v="1121"/>
    <x v="83"/>
    <x v="1"/>
    <x v="1"/>
    <s v="Glenmark"/>
    <s v="Tablet"/>
    <s v="40 mg"/>
    <n v="2"/>
    <n v="75"/>
    <n v="100"/>
    <n v="5"/>
    <n v="12"/>
    <x v="2"/>
    <s v="Female"/>
    <n v="22"/>
    <s v="Hubballi"/>
    <x v="0"/>
    <x v="0"/>
    <s v="B2842"/>
    <d v="2028-01-29T00:00:00"/>
    <n v="200"/>
    <n v="150"/>
    <n v="50"/>
    <n v="0.25"/>
    <n v="2025"/>
    <x v="2"/>
  </r>
  <r>
    <n v="1126"/>
    <x v="11"/>
    <x v="6"/>
    <x v="4"/>
    <s v="Torrent"/>
    <s v="Tablet"/>
    <s v="500 mg"/>
    <n v="2"/>
    <n v="80"/>
    <n v="110"/>
    <n v="10"/>
    <n v="12"/>
    <x v="0"/>
    <s v="Male"/>
    <n v="63"/>
    <s v="Bengaluru"/>
    <x v="0"/>
    <x v="3"/>
    <s v="B7380"/>
    <d v="2027-07-10T00:00:00"/>
    <n v="220"/>
    <n v="160"/>
    <n v="60"/>
    <n v="0.27272727272727271"/>
    <n v="2025"/>
    <x v="0"/>
  </r>
  <r>
    <n v="1128"/>
    <x v="106"/>
    <x v="5"/>
    <x v="3"/>
    <s v="USV"/>
    <s v="Tablet"/>
    <s v="75 mg"/>
    <n v="2"/>
    <n v="12"/>
    <n v="20"/>
    <n v="5"/>
    <n v="12"/>
    <x v="0"/>
    <s v="Female"/>
    <n v="50"/>
    <s v="Hubballi"/>
    <x v="1"/>
    <x v="0"/>
    <s v="B3736"/>
    <d v="2025-12-22T00:00:00"/>
    <n v="40"/>
    <n v="24"/>
    <n v="16"/>
    <n v="0.4"/>
    <n v="2025"/>
    <x v="1"/>
  </r>
  <r>
    <n v="1143"/>
    <x v="107"/>
    <x v="7"/>
    <x v="5"/>
    <s v="Micro Labs"/>
    <s v="Tablet"/>
    <s v="650 mg"/>
    <n v="2"/>
    <n v="25"/>
    <n v="35"/>
    <n v="10"/>
    <n v="12"/>
    <x v="1"/>
    <s v="Female"/>
    <n v="38"/>
    <s v="Bengaluru"/>
    <x v="2"/>
    <x v="2"/>
    <s v="B7596"/>
    <d v="2025-10-17T00:00:00"/>
    <n v="70"/>
    <n v="50"/>
    <n v="20"/>
    <n v="0.2857142857142857"/>
    <n v="2025"/>
    <x v="8"/>
  </r>
  <r>
    <n v="1145"/>
    <x v="108"/>
    <x v="0"/>
    <x v="0"/>
    <s v="GSK"/>
    <s v="Tablet"/>
    <s v="625 mg"/>
    <n v="2"/>
    <n v="140"/>
    <n v="180"/>
    <n v="0"/>
    <n v="12"/>
    <x v="0"/>
    <s v="Female"/>
    <n v="41"/>
    <s v="Tumakuru"/>
    <x v="1"/>
    <x v="3"/>
    <s v="B6147"/>
    <d v="2027-10-09T00:00:00"/>
    <n v="360"/>
    <n v="280"/>
    <n v="80"/>
    <n v="0.22222222222222221"/>
    <n v="2025"/>
    <x v="10"/>
  </r>
  <r>
    <n v="1147"/>
    <x v="109"/>
    <x v="11"/>
    <x v="8"/>
    <s v="Sun Pharma"/>
    <s v="Tablet"/>
    <s v="NA"/>
    <n v="2"/>
    <n v="95"/>
    <n v="125"/>
    <n v="5"/>
    <n v="12"/>
    <x v="1"/>
    <s v="Female"/>
    <n v="20"/>
    <s v="Bengaluru"/>
    <x v="0"/>
    <x v="2"/>
    <s v="B3597"/>
    <d v="2026-10-01T00:00:00"/>
    <n v="250"/>
    <n v="190"/>
    <n v="60"/>
    <n v="0.24"/>
    <n v="2025"/>
    <x v="10"/>
  </r>
  <r>
    <n v="1150"/>
    <x v="110"/>
    <x v="4"/>
    <x v="0"/>
    <s v="Cipla"/>
    <s v="Tablet"/>
    <s v="500 mg"/>
    <n v="2"/>
    <n v="90"/>
    <n v="120"/>
    <n v="5"/>
    <n v="12"/>
    <x v="0"/>
    <s v="Male"/>
    <n v="48"/>
    <s v="Bengaluru"/>
    <x v="0"/>
    <x v="1"/>
    <s v="B7783"/>
    <d v="2026-10-18T00:00:00"/>
    <n v="240"/>
    <n v="180"/>
    <n v="60"/>
    <n v="0.25"/>
    <n v="2025"/>
    <x v="4"/>
  </r>
  <r>
    <n v="1154"/>
    <x v="111"/>
    <x v="14"/>
    <x v="5"/>
    <s v="GSK"/>
    <s v="Tablet"/>
    <s v="650 mg"/>
    <n v="2"/>
    <n v="24"/>
    <n v="34"/>
    <n v="5"/>
    <n v="12"/>
    <x v="0"/>
    <s v="Female"/>
    <n v="24"/>
    <s v="Hubballi"/>
    <x v="4"/>
    <x v="4"/>
    <s v="B1923"/>
    <d v="2027-01-13T00:00:00"/>
    <n v="68"/>
    <n v="48"/>
    <n v="20"/>
    <n v="0.29411764705882354"/>
    <n v="2025"/>
    <x v="7"/>
  </r>
  <r>
    <n v="1156"/>
    <x v="112"/>
    <x v="3"/>
    <x v="2"/>
    <s v="Abbott"/>
    <s v="Tablet"/>
    <s v="500 mg"/>
    <n v="2"/>
    <n v="18"/>
    <n v="28"/>
    <n v="5"/>
    <n v="12"/>
    <x v="0"/>
    <s v="Male"/>
    <n v="33"/>
    <s v="Tumakuru"/>
    <x v="4"/>
    <x v="2"/>
    <s v="B7490"/>
    <d v="2026-01-21T00:00:00"/>
    <n v="56"/>
    <n v="36"/>
    <n v="20"/>
    <n v="0.35714285714285715"/>
    <n v="2025"/>
    <x v="9"/>
  </r>
  <r>
    <n v="1158"/>
    <x v="113"/>
    <x v="0"/>
    <x v="0"/>
    <s v="GSK"/>
    <s v="Tablet"/>
    <s v="625 mg"/>
    <n v="2"/>
    <n v="140"/>
    <n v="180"/>
    <n v="5"/>
    <n v="12"/>
    <x v="0"/>
    <s v="Female"/>
    <n v="62"/>
    <s v="Bengaluru"/>
    <x v="4"/>
    <x v="3"/>
    <s v="B6633"/>
    <d v="2026-06-07T00:00:00"/>
    <n v="360"/>
    <n v="280"/>
    <n v="80"/>
    <n v="0.22222222222222221"/>
    <n v="2025"/>
    <x v="0"/>
  </r>
  <r>
    <n v="1164"/>
    <x v="114"/>
    <x v="2"/>
    <x v="2"/>
    <s v="Merck"/>
    <s v="Capsule"/>
    <s v="400 mg"/>
    <n v="2"/>
    <n v="25"/>
    <n v="38"/>
    <n v="10"/>
    <n v="12"/>
    <x v="1"/>
    <s v="Female"/>
    <n v="31"/>
    <s v="Tumakuru"/>
    <x v="3"/>
    <x v="1"/>
    <s v="B9745"/>
    <d v="2026-05-25T00:00:00"/>
    <n v="76"/>
    <n v="50"/>
    <n v="26"/>
    <n v="0.34210526315789475"/>
    <n v="2025"/>
    <x v="0"/>
  </r>
  <r>
    <n v="1172"/>
    <x v="115"/>
    <x v="1"/>
    <x v="1"/>
    <s v="Glenmark"/>
    <s v="Tablet"/>
    <s v="40 mg"/>
    <n v="2"/>
    <n v="75"/>
    <n v="100"/>
    <n v="10"/>
    <n v="12"/>
    <x v="0"/>
    <s v="Male"/>
    <n v="62"/>
    <s v="Tumakuru"/>
    <x v="1"/>
    <x v="1"/>
    <s v="B5254"/>
    <d v="2025-12-01T00:00:00"/>
    <n v="200"/>
    <n v="150"/>
    <n v="50"/>
    <n v="0.25"/>
    <n v="2025"/>
    <x v="9"/>
  </r>
  <r>
    <n v="1173"/>
    <x v="69"/>
    <x v="6"/>
    <x v="4"/>
    <s v="Torrent"/>
    <s v="Tablet"/>
    <s v="500 mg"/>
    <n v="2"/>
    <n v="80"/>
    <n v="110"/>
    <n v="0"/>
    <n v="12"/>
    <x v="2"/>
    <s v="Female"/>
    <n v="43"/>
    <s v="Bengaluru"/>
    <x v="0"/>
    <x v="4"/>
    <s v="B1969"/>
    <d v="2026-08-18T00:00:00"/>
    <n v="220"/>
    <n v="160"/>
    <n v="60"/>
    <n v="0.27272727272727271"/>
    <n v="2025"/>
    <x v="7"/>
  </r>
  <r>
    <n v="1174"/>
    <x v="30"/>
    <x v="10"/>
    <x v="5"/>
    <s v="GSK"/>
    <s v="Tablet"/>
    <s v="500 mg"/>
    <n v="2"/>
    <n v="22"/>
    <n v="32"/>
    <n v="5"/>
    <n v="12"/>
    <x v="0"/>
    <s v="Male"/>
    <n v="33"/>
    <s v="Bengaluru"/>
    <x v="4"/>
    <x v="4"/>
    <s v="B8103"/>
    <d v="2026-02-13T00:00:00"/>
    <n v="64"/>
    <n v="44"/>
    <n v="20"/>
    <n v="0.3125"/>
    <n v="2025"/>
    <x v="7"/>
  </r>
  <r>
    <n v="1179"/>
    <x v="116"/>
    <x v="2"/>
    <x v="2"/>
    <s v="Merck"/>
    <s v="Capsule"/>
    <s v="400 mg"/>
    <n v="2"/>
    <n v="25"/>
    <n v="38"/>
    <n v="0"/>
    <n v="12"/>
    <x v="2"/>
    <s v="Female"/>
    <n v="70"/>
    <s v="Mysuru"/>
    <x v="3"/>
    <x v="2"/>
    <s v="B7255"/>
    <d v="2025-12-30T00:00:00"/>
    <n v="76"/>
    <n v="50"/>
    <n v="26"/>
    <n v="0.34210526315789475"/>
    <n v="2025"/>
    <x v="9"/>
  </r>
  <r>
    <n v="1192"/>
    <x v="117"/>
    <x v="8"/>
    <x v="6"/>
    <s v="USV"/>
    <s v="Tablet"/>
    <s v="500 mg"/>
    <n v="2"/>
    <n v="45"/>
    <n v="65"/>
    <n v="10"/>
    <n v="12"/>
    <x v="1"/>
    <s v="Male"/>
    <n v="19"/>
    <s v="Hubballi"/>
    <x v="3"/>
    <x v="0"/>
    <s v="B8916"/>
    <d v="2026-12-08T00:00:00"/>
    <n v="130"/>
    <n v="90"/>
    <n v="40"/>
    <n v="0.30769230769230771"/>
    <n v="2025"/>
    <x v="6"/>
  </r>
  <r>
    <n v="1197"/>
    <x v="77"/>
    <x v="9"/>
    <x v="7"/>
    <s v="Sun Pharma"/>
    <s v="Tablet"/>
    <s v="40 mg"/>
    <n v="2"/>
    <n v="60"/>
    <n v="85"/>
    <n v="0"/>
    <n v="12"/>
    <x v="2"/>
    <s v="Male"/>
    <n v="41"/>
    <s v="Mysuru"/>
    <x v="1"/>
    <x v="1"/>
    <s v="B3199"/>
    <d v="2028-02-05T00:00:00"/>
    <n v="170"/>
    <n v="120"/>
    <n v="50"/>
    <n v="0.29411764705882354"/>
    <n v="2025"/>
    <x v="2"/>
  </r>
  <r>
    <n v="1200"/>
    <x v="117"/>
    <x v="4"/>
    <x v="0"/>
    <s v="Cipla"/>
    <s v="Tablet"/>
    <s v="500 mg"/>
    <n v="2"/>
    <n v="90"/>
    <n v="120"/>
    <n v="5"/>
    <n v="12"/>
    <x v="1"/>
    <s v="Male"/>
    <n v="74"/>
    <s v="Bengaluru"/>
    <x v="2"/>
    <x v="2"/>
    <s v="B1546"/>
    <d v="2026-03-23T00:00:00"/>
    <n v="240"/>
    <n v="180"/>
    <n v="60"/>
    <n v="0.25"/>
    <n v="2025"/>
    <x v="6"/>
  </r>
  <r>
    <n v="1211"/>
    <x v="35"/>
    <x v="0"/>
    <x v="0"/>
    <s v="GSK"/>
    <s v="Tablet"/>
    <s v="625 mg"/>
    <n v="2"/>
    <n v="140"/>
    <n v="180"/>
    <n v="10"/>
    <n v="12"/>
    <x v="2"/>
    <s v="Male"/>
    <n v="39"/>
    <s v="Bengaluru"/>
    <x v="4"/>
    <x v="2"/>
    <s v="B9632"/>
    <d v="2027-04-01T00:00:00"/>
    <n v="360"/>
    <n v="280"/>
    <n v="80"/>
    <n v="0.22222222222222221"/>
    <n v="2025"/>
    <x v="9"/>
  </r>
  <r>
    <n v="1215"/>
    <x v="118"/>
    <x v="8"/>
    <x v="6"/>
    <s v="USV"/>
    <s v="Tablet"/>
    <s v="500 mg"/>
    <n v="2"/>
    <n v="45"/>
    <n v="65"/>
    <n v="0"/>
    <n v="12"/>
    <x v="1"/>
    <s v="Female"/>
    <n v="56"/>
    <s v="Hubballi"/>
    <x v="3"/>
    <x v="3"/>
    <s v="B4545"/>
    <d v="2027-09-17T00:00:00"/>
    <n v="130"/>
    <n v="90"/>
    <n v="40"/>
    <n v="0.30769230769230771"/>
    <n v="2025"/>
    <x v="7"/>
  </r>
  <r>
    <n v="1219"/>
    <x v="7"/>
    <x v="9"/>
    <x v="7"/>
    <s v="Sun Pharma"/>
    <s v="Tablet"/>
    <s v="40 mg"/>
    <n v="2"/>
    <n v="60"/>
    <n v="85"/>
    <n v="5"/>
    <n v="12"/>
    <x v="0"/>
    <s v="Male"/>
    <n v="54"/>
    <s v="Hubballi"/>
    <x v="0"/>
    <x v="3"/>
    <s v="B2535"/>
    <d v="2028-01-02T00:00:00"/>
    <n v="170"/>
    <n v="120"/>
    <n v="50"/>
    <n v="0.29411764705882354"/>
    <n v="2025"/>
    <x v="4"/>
  </r>
  <r>
    <n v="1225"/>
    <x v="119"/>
    <x v="14"/>
    <x v="5"/>
    <s v="GSK"/>
    <s v="Tablet"/>
    <s v="650 mg"/>
    <n v="2"/>
    <n v="24"/>
    <n v="34"/>
    <n v="0"/>
    <n v="12"/>
    <x v="2"/>
    <s v="Male"/>
    <n v="29"/>
    <s v="Tumakuru"/>
    <x v="1"/>
    <x v="4"/>
    <s v="B9702"/>
    <d v="2026-06-02T00:00:00"/>
    <n v="68"/>
    <n v="48"/>
    <n v="20"/>
    <n v="0.29411764705882354"/>
    <n v="2025"/>
    <x v="6"/>
  </r>
  <r>
    <n v="1229"/>
    <x v="120"/>
    <x v="3"/>
    <x v="2"/>
    <s v="Abbott"/>
    <s v="Tablet"/>
    <s v="500 mg"/>
    <n v="2"/>
    <n v="18"/>
    <n v="28"/>
    <n v="0"/>
    <n v="12"/>
    <x v="2"/>
    <s v="Male"/>
    <n v="21"/>
    <s v="Bengaluru"/>
    <x v="1"/>
    <x v="2"/>
    <s v="B2540"/>
    <d v="2026-11-03T00:00:00"/>
    <n v="56"/>
    <n v="36"/>
    <n v="20"/>
    <n v="0.35714285714285715"/>
    <n v="2025"/>
    <x v="4"/>
  </r>
  <r>
    <n v="1232"/>
    <x v="121"/>
    <x v="1"/>
    <x v="1"/>
    <s v="Glenmark"/>
    <s v="Tablet"/>
    <s v="40 mg"/>
    <n v="2"/>
    <n v="75"/>
    <n v="100"/>
    <n v="10"/>
    <n v="12"/>
    <x v="1"/>
    <s v="Male"/>
    <n v="57"/>
    <s v="Mysuru"/>
    <x v="1"/>
    <x v="3"/>
    <s v="B7379"/>
    <d v="2026-05-19T00:00:00"/>
    <n v="200"/>
    <n v="150"/>
    <n v="50"/>
    <n v="0.25"/>
    <n v="2025"/>
    <x v="2"/>
  </r>
  <r>
    <n v="1237"/>
    <x v="12"/>
    <x v="2"/>
    <x v="2"/>
    <s v="Merck"/>
    <s v="Capsule"/>
    <s v="400 mg"/>
    <n v="2"/>
    <n v="25"/>
    <n v="38"/>
    <n v="0"/>
    <n v="12"/>
    <x v="1"/>
    <s v="Male"/>
    <n v="31"/>
    <s v="Mysuru"/>
    <x v="1"/>
    <x v="1"/>
    <s v="B2881"/>
    <d v="2026-07-19T00:00:00"/>
    <n v="76"/>
    <n v="50"/>
    <n v="26"/>
    <n v="0.34210526315789475"/>
    <n v="2025"/>
    <x v="1"/>
  </r>
  <r>
    <n v="1245"/>
    <x v="122"/>
    <x v="0"/>
    <x v="0"/>
    <s v="GSK"/>
    <s v="Tablet"/>
    <s v="625 mg"/>
    <n v="2"/>
    <n v="140"/>
    <n v="180"/>
    <n v="0"/>
    <n v="12"/>
    <x v="0"/>
    <s v="Female"/>
    <n v="69"/>
    <s v="Bengaluru"/>
    <x v="0"/>
    <x v="2"/>
    <s v="B3010"/>
    <d v="2026-07-18T00:00:00"/>
    <n v="360"/>
    <n v="280"/>
    <n v="80"/>
    <n v="0.22222222222222221"/>
    <n v="2025"/>
    <x v="10"/>
  </r>
  <r>
    <n v="1248"/>
    <x v="123"/>
    <x v="0"/>
    <x v="0"/>
    <s v="GSK"/>
    <s v="Tablet"/>
    <s v="625 mg"/>
    <n v="2"/>
    <n v="140"/>
    <n v="180"/>
    <n v="5"/>
    <n v="12"/>
    <x v="0"/>
    <s v="Female"/>
    <n v="73"/>
    <s v="Bengaluru"/>
    <x v="0"/>
    <x v="2"/>
    <s v="B5544"/>
    <d v="2026-07-30T00:00:00"/>
    <n v="360"/>
    <n v="280"/>
    <n v="80"/>
    <n v="0.22222222222222221"/>
    <n v="2025"/>
    <x v="2"/>
  </r>
  <r>
    <n v="1249"/>
    <x v="124"/>
    <x v="5"/>
    <x v="3"/>
    <s v="USV"/>
    <s v="Tablet"/>
    <s v="75 mg"/>
    <n v="2"/>
    <n v="12"/>
    <n v="20"/>
    <n v="10"/>
    <n v="12"/>
    <x v="1"/>
    <s v="Male"/>
    <n v="64"/>
    <s v="Bengaluru"/>
    <x v="1"/>
    <x v="4"/>
    <s v="B8820"/>
    <d v="2026-11-01T00:00:00"/>
    <n v="40"/>
    <n v="24"/>
    <n v="16"/>
    <n v="0.4"/>
    <n v="2025"/>
    <x v="8"/>
  </r>
  <r>
    <n v="1251"/>
    <x v="125"/>
    <x v="10"/>
    <x v="5"/>
    <s v="GSK"/>
    <s v="Tablet"/>
    <s v="500 mg"/>
    <n v="2"/>
    <n v="22"/>
    <n v="32"/>
    <n v="0"/>
    <n v="12"/>
    <x v="0"/>
    <s v="Male"/>
    <n v="41"/>
    <s v="Hubballi"/>
    <x v="2"/>
    <x v="0"/>
    <s v="B1487"/>
    <d v="2025-08-31T00:00:00"/>
    <n v="64"/>
    <n v="44"/>
    <n v="20"/>
    <n v="0.3125"/>
    <n v="2025"/>
    <x v="3"/>
  </r>
  <r>
    <n v="1252"/>
    <x v="73"/>
    <x v="2"/>
    <x v="2"/>
    <s v="Merck"/>
    <s v="Capsule"/>
    <s v="400 mg"/>
    <n v="2"/>
    <n v="25"/>
    <n v="38"/>
    <n v="10"/>
    <n v="12"/>
    <x v="0"/>
    <s v="Male"/>
    <n v="73"/>
    <s v="Bengaluru"/>
    <x v="3"/>
    <x v="3"/>
    <s v="B7874"/>
    <d v="2027-06-11T00:00:00"/>
    <n v="76"/>
    <n v="50"/>
    <n v="26"/>
    <n v="0.34210526315789475"/>
    <n v="2025"/>
    <x v="5"/>
  </r>
  <r>
    <n v="1255"/>
    <x v="86"/>
    <x v="11"/>
    <x v="8"/>
    <s v="Sun Pharma"/>
    <s v="Tablet"/>
    <s v="NA"/>
    <n v="2"/>
    <n v="95"/>
    <n v="125"/>
    <n v="0"/>
    <n v="12"/>
    <x v="2"/>
    <s v="Female"/>
    <n v="41"/>
    <s v="Tumakuru"/>
    <x v="3"/>
    <x v="3"/>
    <s v="B7906"/>
    <d v="2027-03-05T00:00:00"/>
    <n v="250"/>
    <n v="190"/>
    <n v="60"/>
    <n v="0.24"/>
    <n v="2025"/>
    <x v="3"/>
  </r>
  <r>
    <n v="1281"/>
    <x v="126"/>
    <x v="1"/>
    <x v="1"/>
    <s v="Glenmark"/>
    <s v="Tablet"/>
    <s v="40 mg"/>
    <n v="2"/>
    <n v="75"/>
    <n v="100"/>
    <n v="0"/>
    <n v="12"/>
    <x v="0"/>
    <s v="Male"/>
    <n v="33"/>
    <s v="Tumakuru"/>
    <x v="4"/>
    <x v="0"/>
    <s v="B3993"/>
    <d v="2026-01-06T00:00:00"/>
    <n v="200"/>
    <n v="150"/>
    <n v="50"/>
    <n v="0.25"/>
    <n v="2025"/>
    <x v="0"/>
  </r>
  <r>
    <n v="1288"/>
    <x v="122"/>
    <x v="7"/>
    <x v="5"/>
    <s v="Micro Labs"/>
    <s v="Tablet"/>
    <s v="650 mg"/>
    <n v="2"/>
    <n v="25"/>
    <n v="35"/>
    <n v="10"/>
    <n v="12"/>
    <x v="2"/>
    <s v="Male"/>
    <n v="29"/>
    <s v="Bengaluru"/>
    <x v="1"/>
    <x v="1"/>
    <s v="B6571"/>
    <d v="2027-04-10T00:00:00"/>
    <n v="70"/>
    <n v="50"/>
    <n v="20"/>
    <n v="0.2857142857142857"/>
    <n v="2025"/>
    <x v="10"/>
  </r>
  <r>
    <n v="1293"/>
    <x v="70"/>
    <x v="7"/>
    <x v="5"/>
    <s v="Micro Labs"/>
    <s v="Tablet"/>
    <s v="650 mg"/>
    <n v="2"/>
    <n v="25"/>
    <n v="35"/>
    <n v="0"/>
    <n v="12"/>
    <x v="0"/>
    <s v="Male"/>
    <n v="68"/>
    <s v="Mysuru"/>
    <x v="1"/>
    <x v="2"/>
    <s v="B3128"/>
    <d v="2026-11-01T00:00:00"/>
    <n v="70"/>
    <n v="50"/>
    <n v="20"/>
    <n v="0.2857142857142857"/>
    <n v="2025"/>
    <x v="11"/>
  </r>
  <r>
    <n v="1297"/>
    <x v="51"/>
    <x v="7"/>
    <x v="5"/>
    <s v="Micro Labs"/>
    <s v="Tablet"/>
    <s v="650 mg"/>
    <n v="2"/>
    <n v="25"/>
    <n v="35"/>
    <n v="10"/>
    <n v="12"/>
    <x v="0"/>
    <s v="Male"/>
    <n v="22"/>
    <s v="Tumakuru"/>
    <x v="0"/>
    <x v="1"/>
    <s v="B2321"/>
    <d v="2027-05-02T00:00:00"/>
    <n v="70"/>
    <n v="50"/>
    <n v="20"/>
    <n v="0.2857142857142857"/>
    <n v="2025"/>
    <x v="1"/>
  </r>
  <r>
    <n v="1298"/>
    <x v="127"/>
    <x v="10"/>
    <x v="5"/>
    <s v="GSK"/>
    <s v="Tablet"/>
    <s v="500 mg"/>
    <n v="2"/>
    <n v="22"/>
    <n v="32"/>
    <n v="5"/>
    <n v="12"/>
    <x v="1"/>
    <s v="Female"/>
    <n v="28"/>
    <s v="Hubballi"/>
    <x v="4"/>
    <x v="3"/>
    <s v="B8005"/>
    <d v="2026-07-06T00:00:00"/>
    <n v="64"/>
    <n v="44"/>
    <n v="20"/>
    <n v="0.3125"/>
    <n v="2025"/>
    <x v="8"/>
  </r>
  <r>
    <n v="1306"/>
    <x v="128"/>
    <x v="10"/>
    <x v="5"/>
    <s v="GSK"/>
    <s v="Tablet"/>
    <s v="500 mg"/>
    <n v="2"/>
    <n v="22"/>
    <n v="32"/>
    <n v="10"/>
    <n v="12"/>
    <x v="0"/>
    <s v="Male"/>
    <n v="68"/>
    <s v="Hubballi"/>
    <x v="0"/>
    <x v="1"/>
    <s v="B3740"/>
    <d v="2025-11-28T00:00:00"/>
    <n v="64"/>
    <n v="44"/>
    <n v="20"/>
    <n v="0.3125"/>
    <n v="2025"/>
    <x v="9"/>
  </r>
  <r>
    <n v="1312"/>
    <x v="27"/>
    <x v="3"/>
    <x v="2"/>
    <s v="Abbott"/>
    <s v="Tablet"/>
    <s v="500 mg"/>
    <n v="2"/>
    <n v="18"/>
    <n v="28"/>
    <n v="10"/>
    <n v="12"/>
    <x v="0"/>
    <s v="Male"/>
    <n v="45"/>
    <s v="Mysuru"/>
    <x v="1"/>
    <x v="2"/>
    <s v="B8874"/>
    <d v="2026-12-06T00:00:00"/>
    <n v="56"/>
    <n v="36"/>
    <n v="20"/>
    <n v="0.35714285714285715"/>
    <n v="2025"/>
    <x v="9"/>
  </r>
  <r>
    <n v="1331"/>
    <x v="129"/>
    <x v="12"/>
    <x v="7"/>
    <s v="Alkem"/>
    <s v="Capsule"/>
    <s v="40 mg"/>
    <n v="2"/>
    <n v="70"/>
    <n v="95"/>
    <n v="5"/>
    <n v="12"/>
    <x v="2"/>
    <s v="Male"/>
    <n v="20"/>
    <s v="Bengaluru"/>
    <x v="3"/>
    <x v="1"/>
    <s v="B4497"/>
    <d v="2028-01-27T00:00:00"/>
    <n v="190"/>
    <n v="140"/>
    <n v="50"/>
    <n v="0.26315789473684209"/>
    <n v="2025"/>
    <x v="4"/>
  </r>
  <r>
    <n v="1336"/>
    <x v="118"/>
    <x v="13"/>
    <x v="2"/>
    <s v="Pfizer"/>
    <s v="Capsule"/>
    <s v="NA"/>
    <n v="2"/>
    <n v="35"/>
    <n v="50"/>
    <n v="10"/>
    <n v="12"/>
    <x v="2"/>
    <s v="Male"/>
    <n v="47"/>
    <s v="Hubballi"/>
    <x v="1"/>
    <x v="1"/>
    <s v="B9906"/>
    <d v="2027-08-30T00:00:00"/>
    <n v="100"/>
    <n v="70"/>
    <n v="30"/>
    <n v="0.3"/>
    <n v="2025"/>
    <x v="7"/>
  </r>
  <r>
    <n v="1337"/>
    <x v="130"/>
    <x v="0"/>
    <x v="0"/>
    <s v="GSK"/>
    <s v="Tablet"/>
    <s v="625 mg"/>
    <n v="2"/>
    <n v="140"/>
    <n v="180"/>
    <n v="10"/>
    <n v="12"/>
    <x v="2"/>
    <s v="Male"/>
    <n v="34"/>
    <s v="Bengaluru"/>
    <x v="4"/>
    <x v="0"/>
    <s v="B8990"/>
    <d v="2027-06-25T00:00:00"/>
    <n v="360"/>
    <n v="280"/>
    <n v="80"/>
    <n v="0.22222222222222221"/>
    <n v="2025"/>
    <x v="0"/>
  </r>
  <r>
    <n v="1346"/>
    <x v="84"/>
    <x v="13"/>
    <x v="2"/>
    <s v="Pfizer"/>
    <s v="Capsule"/>
    <s v="NA"/>
    <n v="2"/>
    <n v="35"/>
    <n v="50"/>
    <n v="5"/>
    <n v="12"/>
    <x v="2"/>
    <s v="Female"/>
    <n v="35"/>
    <s v="Bengaluru"/>
    <x v="3"/>
    <x v="0"/>
    <s v="B5125"/>
    <d v="2027-02-15T00:00:00"/>
    <n v="100"/>
    <n v="70"/>
    <n v="30"/>
    <n v="0.3"/>
    <n v="2025"/>
    <x v="0"/>
  </r>
  <r>
    <n v="1348"/>
    <x v="131"/>
    <x v="2"/>
    <x v="2"/>
    <s v="Merck"/>
    <s v="Capsule"/>
    <s v="400 mg"/>
    <n v="2"/>
    <n v="25"/>
    <n v="38"/>
    <n v="5"/>
    <n v="12"/>
    <x v="0"/>
    <s v="Female"/>
    <n v="43"/>
    <s v="Hubballi"/>
    <x v="4"/>
    <x v="0"/>
    <s v="B6690"/>
    <d v="2026-11-17T00:00:00"/>
    <n v="76"/>
    <n v="50"/>
    <n v="26"/>
    <n v="0.34210526315789475"/>
    <n v="2025"/>
    <x v="7"/>
  </r>
  <r>
    <n v="1351"/>
    <x v="132"/>
    <x v="7"/>
    <x v="5"/>
    <s v="Micro Labs"/>
    <s v="Tablet"/>
    <s v="650 mg"/>
    <n v="2"/>
    <n v="25"/>
    <n v="35"/>
    <n v="5"/>
    <n v="12"/>
    <x v="2"/>
    <s v="Female"/>
    <n v="33"/>
    <s v="Hubballi"/>
    <x v="2"/>
    <x v="2"/>
    <s v="B5879"/>
    <d v="2026-01-04T00:00:00"/>
    <n v="70"/>
    <n v="50"/>
    <n v="20"/>
    <n v="0.2857142857142857"/>
    <n v="2025"/>
    <x v="9"/>
  </r>
  <r>
    <n v="1353"/>
    <x v="133"/>
    <x v="5"/>
    <x v="3"/>
    <s v="USV"/>
    <s v="Tablet"/>
    <s v="75 mg"/>
    <n v="2"/>
    <n v="12"/>
    <n v="20"/>
    <n v="5"/>
    <n v="12"/>
    <x v="1"/>
    <s v="Female"/>
    <n v="40"/>
    <s v="Bengaluru"/>
    <x v="4"/>
    <x v="3"/>
    <s v="B4104"/>
    <d v="2028-04-06T00:00:00"/>
    <n v="40"/>
    <n v="24"/>
    <n v="16"/>
    <n v="0.4"/>
    <n v="2025"/>
    <x v="5"/>
  </r>
  <r>
    <n v="1360"/>
    <x v="134"/>
    <x v="1"/>
    <x v="1"/>
    <s v="Glenmark"/>
    <s v="Tablet"/>
    <s v="40 mg"/>
    <n v="2"/>
    <n v="75"/>
    <n v="100"/>
    <n v="10"/>
    <n v="12"/>
    <x v="2"/>
    <s v="Male"/>
    <n v="25"/>
    <s v="Mysuru"/>
    <x v="4"/>
    <x v="1"/>
    <s v="B3931"/>
    <d v="2026-11-04T00:00:00"/>
    <n v="200"/>
    <n v="150"/>
    <n v="50"/>
    <n v="0.25"/>
    <n v="2025"/>
    <x v="3"/>
  </r>
  <r>
    <n v="1362"/>
    <x v="99"/>
    <x v="10"/>
    <x v="5"/>
    <s v="GSK"/>
    <s v="Tablet"/>
    <s v="500 mg"/>
    <n v="2"/>
    <n v="22"/>
    <n v="32"/>
    <n v="10"/>
    <n v="12"/>
    <x v="0"/>
    <s v="Female"/>
    <n v="52"/>
    <s v="Mysuru"/>
    <x v="4"/>
    <x v="1"/>
    <s v="B9955"/>
    <d v="2027-02-12T00:00:00"/>
    <n v="64"/>
    <n v="44"/>
    <n v="20"/>
    <n v="0.3125"/>
    <n v="2025"/>
    <x v="7"/>
  </r>
  <r>
    <n v="1374"/>
    <x v="22"/>
    <x v="10"/>
    <x v="5"/>
    <s v="GSK"/>
    <s v="Tablet"/>
    <s v="500 mg"/>
    <n v="2"/>
    <n v="22"/>
    <n v="32"/>
    <n v="10"/>
    <n v="12"/>
    <x v="1"/>
    <s v="Male"/>
    <n v="57"/>
    <s v="Bengaluru"/>
    <x v="2"/>
    <x v="4"/>
    <s v="B7949"/>
    <d v="2028-02-13T00:00:00"/>
    <n v="64"/>
    <n v="44"/>
    <n v="20"/>
    <n v="0.3125"/>
    <n v="2025"/>
    <x v="10"/>
  </r>
  <r>
    <n v="1390"/>
    <x v="112"/>
    <x v="6"/>
    <x v="4"/>
    <s v="Torrent"/>
    <s v="Tablet"/>
    <s v="500 mg"/>
    <n v="2"/>
    <n v="80"/>
    <n v="110"/>
    <n v="5"/>
    <n v="12"/>
    <x v="2"/>
    <s v="Female"/>
    <n v="75"/>
    <s v="Bengaluru"/>
    <x v="1"/>
    <x v="4"/>
    <s v="B4173"/>
    <d v="2026-07-09T00:00:00"/>
    <n v="220"/>
    <n v="160"/>
    <n v="60"/>
    <n v="0.27272727272727271"/>
    <n v="2025"/>
    <x v="9"/>
  </r>
  <r>
    <n v="1404"/>
    <x v="135"/>
    <x v="13"/>
    <x v="2"/>
    <s v="Pfizer"/>
    <s v="Capsule"/>
    <s v="NA"/>
    <n v="2"/>
    <n v="35"/>
    <n v="50"/>
    <n v="10"/>
    <n v="12"/>
    <x v="2"/>
    <s v="Male"/>
    <n v="55"/>
    <s v="Hubballi"/>
    <x v="3"/>
    <x v="4"/>
    <s v="B1259"/>
    <d v="2027-03-12T00:00:00"/>
    <n v="100"/>
    <n v="70"/>
    <n v="30"/>
    <n v="0.3"/>
    <n v="2025"/>
    <x v="7"/>
  </r>
  <r>
    <n v="1406"/>
    <x v="136"/>
    <x v="11"/>
    <x v="8"/>
    <s v="Sun Pharma"/>
    <s v="Tablet"/>
    <s v="NA"/>
    <n v="2"/>
    <n v="95"/>
    <n v="125"/>
    <n v="5"/>
    <n v="12"/>
    <x v="2"/>
    <s v="Male"/>
    <n v="71"/>
    <s v="Hubballi"/>
    <x v="3"/>
    <x v="2"/>
    <s v="B5542"/>
    <d v="2026-04-01T00:00:00"/>
    <n v="250"/>
    <n v="190"/>
    <n v="60"/>
    <n v="0.24"/>
    <n v="2025"/>
    <x v="9"/>
  </r>
  <r>
    <n v="1419"/>
    <x v="137"/>
    <x v="10"/>
    <x v="5"/>
    <s v="GSK"/>
    <s v="Tablet"/>
    <s v="500 mg"/>
    <n v="2"/>
    <n v="22"/>
    <n v="32"/>
    <n v="0"/>
    <n v="12"/>
    <x v="1"/>
    <s v="Female"/>
    <n v="39"/>
    <s v="Bengaluru"/>
    <x v="3"/>
    <x v="3"/>
    <s v="B1448"/>
    <d v="2027-11-16T00:00:00"/>
    <n v="64"/>
    <n v="44"/>
    <n v="20"/>
    <n v="0.3125"/>
    <n v="2025"/>
    <x v="4"/>
  </r>
  <r>
    <n v="1420"/>
    <x v="138"/>
    <x v="6"/>
    <x v="4"/>
    <s v="Torrent"/>
    <s v="Tablet"/>
    <s v="500 mg"/>
    <n v="2"/>
    <n v="80"/>
    <n v="110"/>
    <n v="10"/>
    <n v="12"/>
    <x v="2"/>
    <s v="Male"/>
    <n v="73"/>
    <s v="Mysuru"/>
    <x v="3"/>
    <x v="4"/>
    <s v="B1494"/>
    <d v="2027-03-03T00:00:00"/>
    <n v="220"/>
    <n v="160"/>
    <n v="60"/>
    <n v="0.27272727272727271"/>
    <n v="2025"/>
    <x v="2"/>
  </r>
  <r>
    <n v="1426"/>
    <x v="1"/>
    <x v="10"/>
    <x v="5"/>
    <s v="GSK"/>
    <s v="Tablet"/>
    <s v="500 mg"/>
    <n v="2"/>
    <n v="22"/>
    <n v="32"/>
    <n v="10"/>
    <n v="12"/>
    <x v="2"/>
    <s v="Female"/>
    <n v="20"/>
    <s v="Bengaluru"/>
    <x v="3"/>
    <x v="1"/>
    <s v="B6922"/>
    <d v="2026-05-13T00:00:00"/>
    <n v="64"/>
    <n v="44"/>
    <n v="20"/>
    <n v="0.3125"/>
    <n v="2025"/>
    <x v="1"/>
  </r>
  <r>
    <n v="1427"/>
    <x v="54"/>
    <x v="6"/>
    <x v="4"/>
    <s v="Torrent"/>
    <s v="Tablet"/>
    <s v="500 mg"/>
    <n v="2"/>
    <n v="80"/>
    <n v="110"/>
    <n v="10"/>
    <n v="12"/>
    <x v="1"/>
    <s v="Female"/>
    <n v="45"/>
    <s v="Hubballi"/>
    <x v="0"/>
    <x v="0"/>
    <s v="B2583"/>
    <d v="2027-01-23T00:00:00"/>
    <n v="220"/>
    <n v="160"/>
    <n v="60"/>
    <n v="0.27272727272727271"/>
    <n v="2025"/>
    <x v="3"/>
  </r>
  <r>
    <n v="1434"/>
    <x v="139"/>
    <x v="9"/>
    <x v="7"/>
    <s v="Sun Pharma"/>
    <s v="Tablet"/>
    <s v="40 mg"/>
    <n v="2"/>
    <n v="60"/>
    <n v="85"/>
    <n v="0"/>
    <n v="12"/>
    <x v="1"/>
    <s v="Female"/>
    <n v="48"/>
    <s v="Tumakuru"/>
    <x v="0"/>
    <x v="2"/>
    <s v="B4521"/>
    <d v="2027-06-17T00:00:00"/>
    <n v="170"/>
    <n v="120"/>
    <n v="50"/>
    <n v="0.29411764705882354"/>
    <n v="2025"/>
    <x v="5"/>
  </r>
  <r>
    <n v="1436"/>
    <x v="140"/>
    <x v="1"/>
    <x v="1"/>
    <s v="Glenmark"/>
    <s v="Tablet"/>
    <s v="40 mg"/>
    <n v="2"/>
    <n v="75"/>
    <n v="100"/>
    <n v="5"/>
    <n v="12"/>
    <x v="1"/>
    <s v="Female"/>
    <n v="43"/>
    <s v="Tumakuru"/>
    <x v="3"/>
    <x v="3"/>
    <s v="B2774"/>
    <d v="2027-08-24T00:00:00"/>
    <n v="200"/>
    <n v="150"/>
    <n v="50"/>
    <n v="0.25"/>
    <n v="2025"/>
    <x v="10"/>
  </r>
  <r>
    <n v="1438"/>
    <x v="133"/>
    <x v="8"/>
    <x v="6"/>
    <s v="USV"/>
    <s v="Tablet"/>
    <s v="500 mg"/>
    <n v="2"/>
    <n v="45"/>
    <n v="65"/>
    <n v="10"/>
    <n v="12"/>
    <x v="1"/>
    <s v="Female"/>
    <n v="28"/>
    <s v="Hubballi"/>
    <x v="0"/>
    <x v="4"/>
    <s v="B7850"/>
    <d v="2027-04-14T00:00:00"/>
    <n v="130"/>
    <n v="90"/>
    <n v="40"/>
    <n v="0.30769230769230771"/>
    <n v="2025"/>
    <x v="5"/>
  </r>
  <r>
    <n v="1440"/>
    <x v="141"/>
    <x v="13"/>
    <x v="2"/>
    <s v="Pfizer"/>
    <s v="Capsule"/>
    <s v="NA"/>
    <n v="2"/>
    <n v="35"/>
    <n v="50"/>
    <n v="0"/>
    <n v="12"/>
    <x v="0"/>
    <s v="Female"/>
    <n v="74"/>
    <s v="Tumakuru"/>
    <x v="1"/>
    <x v="2"/>
    <s v="B1467"/>
    <d v="2027-10-09T00:00:00"/>
    <n v="100"/>
    <n v="70"/>
    <n v="30"/>
    <n v="0.3"/>
    <n v="2025"/>
    <x v="11"/>
  </r>
  <r>
    <n v="1441"/>
    <x v="142"/>
    <x v="6"/>
    <x v="4"/>
    <s v="Torrent"/>
    <s v="Tablet"/>
    <s v="500 mg"/>
    <n v="2"/>
    <n v="80"/>
    <n v="110"/>
    <n v="5"/>
    <n v="12"/>
    <x v="1"/>
    <s v="Female"/>
    <n v="43"/>
    <s v="Hubballi"/>
    <x v="2"/>
    <x v="2"/>
    <s v="B8761"/>
    <d v="2027-06-21T00:00:00"/>
    <n v="220"/>
    <n v="160"/>
    <n v="60"/>
    <n v="0.27272727272727271"/>
    <n v="2025"/>
    <x v="8"/>
  </r>
  <r>
    <n v="1445"/>
    <x v="143"/>
    <x v="2"/>
    <x v="2"/>
    <s v="Merck"/>
    <s v="Capsule"/>
    <s v="400 mg"/>
    <n v="2"/>
    <n v="25"/>
    <n v="38"/>
    <n v="10"/>
    <n v="12"/>
    <x v="1"/>
    <s v="Male"/>
    <n v="58"/>
    <s v="Hubballi"/>
    <x v="4"/>
    <x v="2"/>
    <s v="B4360"/>
    <d v="2027-04-20T00:00:00"/>
    <n v="76"/>
    <n v="50"/>
    <n v="26"/>
    <n v="0.34210526315789475"/>
    <n v="2025"/>
    <x v="6"/>
  </r>
  <r>
    <n v="1450"/>
    <x v="144"/>
    <x v="3"/>
    <x v="2"/>
    <s v="Abbott"/>
    <s v="Tablet"/>
    <s v="500 mg"/>
    <n v="2"/>
    <n v="18"/>
    <n v="28"/>
    <n v="10"/>
    <n v="12"/>
    <x v="2"/>
    <s v="Female"/>
    <n v="38"/>
    <s v="Mysuru"/>
    <x v="3"/>
    <x v="4"/>
    <s v="B7695"/>
    <d v="2027-08-05T00:00:00"/>
    <n v="56"/>
    <n v="36"/>
    <n v="20"/>
    <n v="0.35714285714285715"/>
    <n v="2025"/>
    <x v="0"/>
  </r>
  <r>
    <n v="1459"/>
    <x v="145"/>
    <x v="2"/>
    <x v="2"/>
    <s v="Merck"/>
    <s v="Capsule"/>
    <s v="400 mg"/>
    <n v="2"/>
    <n v="25"/>
    <n v="38"/>
    <n v="10"/>
    <n v="12"/>
    <x v="0"/>
    <s v="Female"/>
    <n v="71"/>
    <s v="Hubballi"/>
    <x v="0"/>
    <x v="2"/>
    <s v="B3600"/>
    <d v="2026-11-05T00:00:00"/>
    <n v="76"/>
    <n v="50"/>
    <n v="26"/>
    <n v="0.34210526315789475"/>
    <n v="2025"/>
    <x v="1"/>
  </r>
  <r>
    <n v="1460"/>
    <x v="146"/>
    <x v="1"/>
    <x v="1"/>
    <s v="Glenmark"/>
    <s v="Tablet"/>
    <s v="40 mg"/>
    <n v="2"/>
    <n v="75"/>
    <n v="100"/>
    <n v="5"/>
    <n v="12"/>
    <x v="0"/>
    <s v="Male"/>
    <n v="22"/>
    <s v="Mysuru"/>
    <x v="0"/>
    <x v="4"/>
    <s v="B2953"/>
    <d v="2025-12-09T00:00:00"/>
    <n v="200"/>
    <n v="150"/>
    <n v="50"/>
    <n v="0.25"/>
    <n v="2025"/>
    <x v="8"/>
  </r>
  <r>
    <n v="1463"/>
    <x v="134"/>
    <x v="11"/>
    <x v="8"/>
    <s v="Sun Pharma"/>
    <s v="Tablet"/>
    <s v="NA"/>
    <n v="2"/>
    <n v="95"/>
    <n v="125"/>
    <n v="5"/>
    <n v="12"/>
    <x v="2"/>
    <s v="Female"/>
    <n v="18"/>
    <s v="Mysuru"/>
    <x v="0"/>
    <x v="3"/>
    <s v="B8455"/>
    <d v="2026-12-05T00:00:00"/>
    <n v="250"/>
    <n v="190"/>
    <n v="60"/>
    <n v="0.24"/>
    <n v="2025"/>
    <x v="3"/>
  </r>
  <r>
    <n v="1464"/>
    <x v="147"/>
    <x v="4"/>
    <x v="0"/>
    <s v="Cipla"/>
    <s v="Tablet"/>
    <s v="500 mg"/>
    <n v="2"/>
    <n v="90"/>
    <n v="120"/>
    <n v="10"/>
    <n v="12"/>
    <x v="0"/>
    <s v="Male"/>
    <n v="31"/>
    <s v="Tumakuru"/>
    <x v="2"/>
    <x v="0"/>
    <s v="B6646"/>
    <d v="2026-08-05T00:00:00"/>
    <n v="240"/>
    <n v="180"/>
    <n v="60"/>
    <n v="0.25"/>
    <n v="2025"/>
    <x v="11"/>
  </r>
  <r>
    <n v="1467"/>
    <x v="148"/>
    <x v="0"/>
    <x v="0"/>
    <s v="GSK"/>
    <s v="Tablet"/>
    <s v="625 mg"/>
    <n v="2"/>
    <n v="140"/>
    <n v="180"/>
    <n v="5"/>
    <n v="12"/>
    <x v="1"/>
    <s v="Male"/>
    <n v="46"/>
    <s v="Hubballi"/>
    <x v="2"/>
    <x v="1"/>
    <s v="B8882"/>
    <d v="2026-08-18T00:00:00"/>
    <n v="360"/>
    <n v="280"/>
    <n v="80"/>
    <n v="0.22222222222222221"/>
    <n v="2025"/>
    <x v="2"/>
  </r>
  <r>
    <n v="1483"/>
    <x v="43"/>
    <x v="4"/>
    <x v="0"/>
    <s v="Cipla"/>
    <s v="Tablet"/>
    <s v="500 mg"/>
    <n v="2"/>
    <n v="90"/>
    <n v="120"/>
    <n v="0"/>
    <n v="12"/>
    <x v="1"/>
    <s v="Male"/>
    <n v="65"/>
    <s v="Mysuru"/>
    <x v="4"/>
    <x v="4"/>
    <s v="B3131"/>
    <d v="2027-09-04T00:00:00"/>
    <n v="240"/>
    <n v="180"/>
    <n v="60"/>
    <n v="0.25"/>
    <n v="2025"/>
    <x v="0"/>
  </r>
  <r>
    <n v="1485"/>
    <x v="149"/>
    <x v="2"/>
    <x v="2"/>
    <s v="Merck"/>
    <s v="Capsule"/>
    <s v="400 mg"/>
    <n v="2"/>
    <n v="25"/>
    <n v="38"/>
    <n v="5"/>
    <n v="12"/>
    <x v="1"/>
    <s v="Female"/>
    <n v="73"/>
    <s v="Mysuru"/>
    <x v="0"/>
    <x v="2"/>
    <s v="B3846"/>
    <d v="2025-12-27T00:00:00"/>
    <n v="76"/>
    <n v="50"/>
    <n v="26"/>
    <n v="0.34210526315789475"/>
    <n v="2025"/>
    <x v="8"/>
  </r>
  <r>
    <n v="1486"/>
    <x v="102"/>
    <x v="3"/>
    <x v="2"/>
    <s v="Abbott"/>
    <s v="Tablet"/>
    <s v="500 mg"/>
    <n v="2"/>
    <n v="18"/>
    <n v="28"/>
    <n v="0"/>
    <n v="12"/>
    <x v="2"/>
    <s v="Male"/>
    <n v="27"/>
    <s v="Mysuru"/>
    <x v="2"/>
    <x v="4"/>
    <s v="B2299"/>
    <d v="2027-01-03T00:00:00"/>
    <n v="56"/>
    <n v="36"/>
    <n v="20"/>
    <n v="0.35714285714285715"/>
    <n v="2025"/>
    <x v="3"/>
  </r>
  <r>
    <n v="1487"/>
    <x v="150"/>
    <x v="9"/>
    <x v="7"/>
    <s v="Sun Pharma"/>
    <s v="Tablet"/>
    <s v="40 mg"/>
    <n v="2"/>
    <n v="60"/>
    <n v="85"/>
    <n v="5"/>
    <n v="12"/>
    <x v="0"/>
    <s v="Female"/>
    <n v="33"/>
    <s v="Hubballi"/>
    <x v="0"/>
    <x v="0"/>
    <s v="B4468"/>
    <d v="2026-09-17T00:00:00"/>
    <n v="170"/>
    <n v="120"/>
    <n v="50"/>
    <n v="0.29411764705882354"/>
    <n v="2025"/>
    <x v="6"/>
  </r>
  <r>
    <n v="1488"/>
    <x v="151"/>
    <x v="8"/>
    <x v="6"/>
    <s v="USV"/>
    <s v="Tablet"/>
    <s v="500 mg"/>
    <n v="2"/>
    <n v="45"/>
    <n v="65"/>
    <n v="0"/>
    <n v="12"/>
    <x v="0"/>
    <s v="Female"/>
    <n v="72"/>
    <s v="Tumakuru"/>
    <x v="2"/>
    <x v="3"/>
    <s v="B5648"/>
    <d v="2026-10-17T00:00:00"/>
    <n v="130"/>
    <n v="90"/>
    <n v="40"/>
    <n v="0.30769230769230771"/>
    <n v="2025"/>
    <x v="5"/>
  </r>
  <r>
    <n v="1491"/>
    <x v="152"/>
    <x v="10"/>
    <x v="5"/>
    <s v="GSK"/>
    <s v="Tablet"/>
    <s v="500 mg"/>
    <n v="2"/>
    <n v="22"/>
    <n v="32"/>
    <n v="0"/>
    <n v="12"/>
    <x v="2"/>
    <s v="Male"/>
    <n v="23"/>
    <s v="Mysuru"/>
    <x v="4"/>
    <x v="1"/>
    <s v="B8197"/>
    <d v="2027-05-13T00:00:00"/>
    <n v="64"/>
    <n v="44"/>
    <n v="20"/>
    <n v="0.3125"/>
    <n v="2025"/>
    <x v="10"/>
  </r>
  <r>
    <n v="1499"/>
    <x v="153"/>
    <x v="5"/>
    <x v="3"/>
    <s v="USV"/>
    <s v="Tablet"/>
    <s v="75 mg"/>
    <n v="2"/>
    <n v="12"/>
    <n v="20"/>
    <n v="0"/>
    <n v="12"/>
    <x v="1"/>
    <s v="Male"/>
    <n v="63"/>
    <s v="Bengaluru"/>
    <x v="2"/>
    <x v="1"/>
    <s v="B4249"/>
    <d v="2026-11-29T00:00:00"/>
    <n v="40"/>
    <n v="24"/>
    <n v="16"/>
    <n v="0.4"/>
    <n v="2025"/>
    <x v="2"/>
  </r>
  <r>
    <n v="1004"/>
    <x v="153"/>
    <x v="14"/>
    <x v="5"/>
    <s v="GSK"/>
    <s v="Tablet"/>
    <s v="650 mg"/>
    <n v="3"/>
    <n v="24"/>
    <n v="34"/>
    <n v="0"/>
    <n v="12"/>
    <x v="2"/>
    <s v="Female"/>
    <n v="39"/>
    <s v="Mysuru"/>
    <x v="0"/>
    <x v="3"/>
    <s v="B2151"/>
    <d v="2026-04-27T00:00:00"/>
    <n v="102"/>
    <n v="72"/>
    <n v="30"/>
    <n v="0.29411764705882354"/>
    <n v="2025"/>
    <x v="2"/>
  </r>
  <r>
    <n v="1009"/>
    <x v="89"/>
    <x v="14"/>
    <x v="5"/>
    <s v="GSK"/>
    <s v="Tablet"/>
    <s v="650 mg"/>
    <n v="3"/>
    <n v="24"/>
    <n v="34"/>
    <n v="5"/>
    <n v="12"/>
    <x v="2"/>
    <s v="Female"/>
    <n v="60"/>
    <s v="Tumakuru"/>
    <x v="2"/>
    <x v="0"/>
    <s v="B9821"/>
    <d v="2026-12-07T00:00:00"/>
    <n v="102"/>
    <n v="72"/>
    <n v="30"/>
    <n v="0.29411764705882354"/>
    <n v="2025"/>
    <x v="5"/>
  </r>
  <r>
    <n v="1025"/>
    <x v="121"/>
    <x v="0"/>
    <x v="0"/>
    <s v="GSK"/>
    <s v="Tablet"/>
    <s v="625 mg"/>
    <n v="3"/>
    <n v="140"/>
    <n v="180"/>
    <n v="0"/>
    <n v="12"/>
    <x v="1"/>
    <s v="Female"/>
    <n v="19"/>
    <s v="Bengaluru"/>
    <x v="4"/>
    <x v="3"/>
    <s v="B5909"/>
    <d v="2027-02-10T00:00:00"/>
    <n v="540"/>
    <n v="420"/>
    <n v="120"/>
    <n v="0.22222222222222221"/>
    <n v="2025"/>
    <x v="2"/>
  </r>
  <r>
    <n v="1028"/>
    <x v="54"/>
    <x v="10"/>
    <x v="5"/>
    <s v="GSK"/>
    <s v="Tablet"/>
    <s v="500 mg"/>
    <n v="3"/>
    <n v="22"/>
    <n v="32"/>
    <n v="5"/>
    <n v="12"/>
    <x v="2"/>
    <s v="Female"/>
    <n v="50"/>
    <s v="Tumakuru"/>
    <x v="0"/>
    <x v="1"/>
    <s v="B3526"/>
    <d v="2027-06-03T00:00:00"/>
    <n v="96"/>
    <n v="66"/>
    <n v="30"/>
    <n v="0.3125"/>
    <n v="2025"/>
    <x v="3"/>
  </r>
  <r>
    <n v="1029"/>
    <x v="32"/>
    <x v="10"/>
    <x v="5"/>
    <s v="GSK"/>
    <s v="Tablet"/>
    <s v="500 mg"/>
    <n v="3"/>
    <n v="22"/>
    <n v="32"/>
    <n v="10"/>
    <n v="12"/>
    <x v="0"/>
    <s v="Female"/>
    <n v="33"/>
    <s v="Mysuru"/>
    <x v="2"/>
    <x v="2"/>
    <s v="B8628"/>
    <d v="2026-11-04T00:00:00"/>
    <n v="96"/>
    <n v="66"/>
    <n v="30"/>
    <n v="0.3125"/>
    <n v="2025"/>
    <x v="0"/>
  </r>
  <r>
    <n v="1034"/>
    <x v="50"/>
    <x v="9"/>
    <x v="7"/>
    <s v="Sun Pharma"/>
    <s v="Tablet"/>
    <s v="40 mg"/>
    <n v="3"/>
    <n v="60"/>
    <n v="85"/>
    <n v="0"/>
    <n v="12"/>
    <x v="0"/>
    <s v="Female"/>
    <n v="33"/>
    <s v="Tumakuru"/>
    <x v="3"/>
    <x v="1"/>
    <s v="B5784"/>
    <d v="2026-01-29T00:00:00"/>
    <n v="255"/>
    <n v="180"/>
    <n v="75"/>
    <n v="0.29411764705882354"/>
    <n v="2025"/>
    <x v="8"/>
  </r>
  <r>
    <n v="1043"/>
    <x v="154"/>
    <x v="2"/>
    <x v="2"/>
    <s v="Merck"/>
    <s v="Capsule"/>
    <s v="400 mg"/>
    <n v="3"/>
    <n v="25"/>
    <n v="38"/>
    <n v="5"/>
    <n v="12"/>
    <x v="1"/>
    <s v="Male"/>
    <n v="48"/>
    <s v="Hubballi"/>
    <x v="4"/>
    <x v="2"/>
    <s v="B1867"/>
    <d v="2027-07-30T00:00:00"/>
    <n v="114"/>
    <n v="75"/>
    <n v="39"/>
    <n v="0.34210526315789475"/>
    <n v="2025"/>
    <x v="10"/>
  </r>
  <r>
    <n v="1045"/>
    <x v="155"/>
    <x v="10"/>
    <x v="5"/>
    <s v="GSK"/>
    <s v="Tablet"/>
    <s v="500 mg"/>
    <n v="3"/>
    <n v="22"/>
    <n v="32"/>
    <n v="10"/>
    <n v="12"/>
    <x v="0"/>
    <s v="Male"/>
    <n v="28"/>
    <s v="Hubballi"/>
    <x v="3"/>
    <x v="0"/>
    <s v="B4936"/>
    <d v="2027-08-08T00:00:00"/>
    <n v="96"/>
    <n v="66"/>
    <n v="30"/>
    <n v="0.3125"/>
    <n v="2025"/>
    <x v="8"/>
  </r>
  <r>
    <n v="1047"/>
    <x v="57"/>
    <x v="0"/>
    <x v="0"/>
    <s v="GSK"/>
    <s v="Tablet"/>
    <s v="625 mg"/>
    <n v="3"/>
    <n v="140"/>
    <n v="180"/>
    <n v="0"/>
    <n v="12"/>
    <x v="0"/>
    <s v="Male"/>
    <n v="47"/>
    <s v="Hubballi"/>
    <x v="4"/>
    <x v="0"/>
    <s v="B6476"/>
    <d v="2027-02-08T00:00:00"/>
    <n v="540"/>
    <n v="420"/>
    <n v="120"/>
    <n v="0.22222222222222221"/>
    <n v="2025"/>
    <x v="1"/>
  </r>
  <r>
    <n v="1058"/>
    <x v="80"/>
    <x v="12"/>
    <x v="7"/>
    <s v="Alkem"/>
    <s v="Capsule"/>
    <s v="40 mg"/>
    <n v="3"/>
    <n v="70"/>
    <n v="95"/>
    <n v="0"/>
    <n v="12"/>
    <x v="2"/>
    <s v="Male"/>
    <n v="59"/>
    <s v="Bengaluru"/>
    <x v="1"/>
    <x v="4"/>
    <s v="B2283"/>
    <d v="2026-07-21T00:00:00"/>
    <n v="285"/>
    <n v="210"/>
    <n v="75"/>
    <n v="0.26315789473684209"/>
    <n v="2025"/>
    <x v="4"/>
  </r>
  <r>
    <n v="1063"/>
    <x v="156"/>
    <x v="4"/>
    <x v="0"/>
    <s v="Cipla"/>
    <s v="Tablet"/>
    <s v="500 mg"/>
    <n v="3"/>
    <n v="90"/>
    <n v="120"/>
    <n v="5"/>
    <n v="12"/>
    <x v="2"/>
    <s v="Female"/>
    <n v="44"/>
    <s v="Hubballi"/>
    <x v="0"/>
    <x v="2"/>
    <s v="B3167"/>
    <d v="2028-01-25T00:00:00"/>
    <n v="360"/>
    <n v="270"/>
    <n v="90"/>
    <n v="0.25"/>
    <n v="2025"/>
    <x v="10"/>
  </r>
  <r>
    <n v="1076"/>
    <x v="157"/>
    <x v="4"/>
    <x v="0"/>
    <s v="Cipla"/>
    <s v="Tablet"/>
    <s v="500 mg"/>
    <n v="3"/>
    <n v="90"/>
    <n v="120"/>
    <n v="10"/>
    <n v="12"/>
    <x v="2"/>
    <s v="Male"/>
    <n v="29"/>
    <s v="Tumakuru"/>
    <x v="1"/>
    <x v="4"/>
    <s v="B7555"/>
    <d v="2026-12-06T00:00:00"/>
    <n v="360"/>
    <n v="270"/>
    <n v="90"/>
    <n v="0.25"/>
    <n v="2025"/>
    <x v="2"/>
  </r>
  <r>
    <n v="1082"/>
    <x v="158"/>
    <x v="13"/>
    <x v="2"/>
    <s v="Pfizer"/>
    <s v="Capsule"/>
    <s v="NA"/>
    <n v="3"/>
    <n v="35"/>
    <n v="50"/>
    <n v="0"/>
    <n v="12"/>
    <x v="1"/>
    <s v="Male"/>
    <n v="43"/>
    <s v="Mysuru"/>
    <x v="3"/>
    <x v="4"/>
    <s v="B4346"/>
    <d v="2025-08-26T00:00:00"/>
    <n v="150"/>
    <n v="105"/>
    <n v="45"/>
    <n v="0.3"/>
    <n v="2025"/>
    <x v="3"/>
  </r>
  <r>
    <n v="1086"/>
    <x v="159"/>
    <x v="8"/>
    <x v="6"/>
    <s v="USV"/>
    <s v="Tablet"/>
    <s v="500 mg"/>
    <n v="3"/>
    <n v="45"/>
    <n v="65"/>
    <n v="10"/>
    <n v="12"/>
    <x v="0"/>
    <s v="Female"/>
    <n v="63"/>
    <s v="Tumakuru"/>
    <x v="2"/>
    <x v="4"/>
    <s v="B9775"/>
    <d v="2027-01-13T00:00:00"/>
    <n v="195"/>
    <n v="135"/>
    <n v="60"/>
    <n v="0.30769230769230771"/>
    <n v="2025"/>
    <x v="11"/>
  </r>
  <r>
    <n v="1087"/>
    <x v="123"/>
    <x v="6"/>
    <x v="4"/>
    <s v="Torrent"/>
    <s v="Tablet"/>
    <s v="500 mg"/>
    <n v="3"/>
    <n v="80"/>
    <n v="110"/>
    <n v="5"/>
    <n v="12"/>
    <x v="0"/>
    <s v="Female"/>
    <n v="44"/>
    <s v="Mysuru"/>
    <x v="0"/>
    <x v="1"/>
    <s v="B2939"/>
    <d v="2027-10-09T00:00:00"/>
    <n v="330"/>
    <n v="240"/>
    <n v="90"/>
    <n v="0.27272727272727271"/>
    <n v="2025"/>
    <x v="2"/>
  </r>
  <r>
    <n v="1092"/>
    <x v="144"/>
    <x v="1"/>
    <x v="1"/>
    <s v="Glenmark"/>
    <s v="Tablet"/>
    <s v="40 mg"/>
    <n v="3"/>
    <n v="75"/>
    <n v="100"/>
    <n v="0"/>
    <n v="12"/>
    <x v="1"/>
    <s v="Male"/>
    <n v="65"/>
    <s v="Hubballi"/>
    <x v="4"/>
    <x v="2"/>
    <s v="B9467"/>
    <d v="2027-11-05T00:00:00"/>
    <n v="300"/>
    <n v="225"/>
    <n v="75"/>
    <n v="0.25"/>
    <n v="2025"/>
    <x v="0"/>
  </r>
  <r>
    <n v="1095"/>
    <x v="98"/>
    <x v="5"/>
    <x v="3"/>
    <s v="USV"/>
    <s v="Tablet"/>
    <s v="75 mg"/>
    <n v="3"/>
    <n v="12"/>
    <n v="20"/>
    <n v="5"/>
    <n v="12"/>
    <x v="1"/>
    <s v="Female"/>
    <n v="53"/>
    <s v="Mysuru"/>
    <x v="1"/>
    <x v="4"/>
    <s v="B9627"/>
    <d v="2026-09-07T00:00:00"/>
    <n v="60"/>
    <n v="36"/>
    <n v="24"/>
    <n v="0.4"/>
    <n v="2025"/>
    <x v="0"/>
  </r>
  <r>
    <n v="1098"/>
    <x v="51"/>
    <x v="9"/>
    <x v="7"/>
    <s v="Sun Pharma"/>
    <s v="Tablet"/>
    <s v="40 mg"/>
    <n v="3"/>
    <n v="60"/>
    <n v="85"/>
    <n v="5"/>
    <n v="12"/>
    <x v="0"/>
    <s v="Female"/>
    <n v="38"/>
    <s v="Bengaluru"/>
    <x v="0"/>
    <x v="4"/>
    <s v="B7365"/>
    <d v="2027-05-02T00:00:00"/>
    <n v="255"/>
    <n v="180"/>
    <n v="75"/>
    <n v="0.29411764705882354"/>
    <n v="2025"/>
    <x v="1"/>
  </r>
  <r>
    <n v="1100"/>
    <x v="160"/>
    <x v="5"/>
    <x v="3"/>
    <s v="USV"/>
    <s v="Tablet"/>
    <s v="75 mg"/>
    <n v="3"/>
    <n v="12"/>
    <n v="20"/>
    <n v="0"/>
    <n v="12"/>
    <x v="2"/>
    <s v="Male"/>
    <n v="62"/>
    <s v="Tumakuru"/>
    <x v="3"/>
    <x v="4"/>
    <s v="B2059"/>
    <d v="2027-08-22T00:00:00"/>
    <n v="60"/>
    <n v="36"/>
    <n v="24"/>
    <n v="0.4"/>
    <n v="2025"/>
    <x v="5"/>
  </r>
  <r>
    <n v="1101"/>
    <x v="54"/>
    <x v="2"/>
    <x v="2"/>
    <s v="Merck"/>
    <s v="Capsule"/>
    <s v="400 mg"/>
    <n v="3"/>
    <n v="25"/>
    <n v="38"/>
    <n v="0"/>
    <n v="12"/>
    <x v="0"/>
    <s v="Male"/>
    <n v="69"/>
    <s v="Tumakuru"/>
    <x v="2"/>
    <x v="1"/>
    <s v="B5958"/>
    <d v="2026-10-22T00:00:00"/>
    <n v="114"/>
    <n v="75"/>
    <n v="39"/>
    <n v="0.34210526315789475"/>
    <n v="2025"/>
    <x v="3"/>
  </r>
  <r>
    <n v="1102"/>
    <x v="161"/>
    <x v="7"/>
    <x v="5"/>
    <s v="Micro Labs"/>
    <s v="Tablet"/>
    <s v="650 mg"/>
    <n v="3"/>
    <n v="25"/>
    <n v="35"/>
    <n v="0"/>
    <n v="12"/>
    <x v="2"/>
    <s v="Male"/>
    <n v="27"/>
    <s v="Bengaluru"/>
    <x v="4"/>
    <x v="1"/>
    <s v="B9553"/>
    <d v="2027-04-15T00:00:00"/>
    <n v="105"/>
    <n v="75"/>
    <n v="30"/>
    <n v="0.2857142857142857"/>
    <n v="2025"/>
    <x v="7"/>
  </r>
  <r>
    <n v="1109"/>
    <x v="118"/>
    <x v="10"/>
    <x v="5"/>
    <s v="GSK"/>
    <s v="Tablet"/>
    <s v="500 mg"/>
    <n v="3"/>
    <n v="22"/>
    <n v="32"/>
    <n v="5"/>
    <n v="12"/>
    <x v="0"/>
    <s v="Male"/>
    <n v="72"/>
    <s v="Tumakuru"/>
    <x v="4"/>
    <x v="2"/>
    <s v="B5756"/>
    <d v="2027-09-12T00:00:00"/>
    <n v="96"/>
    <n v="66"/>
    <n v="30"/>
    <n v="0.3125"/>
    <n v="2025"/>
    <x v="7"/>
  </r>
  <r>
    <n v="1118"/>
    <x v="32"/>
    <x v="13"/>
    <x v="2"/>
    <s v="Pfizer"/>
    <s v="Capsule"/>
    <s v="NA"/>
    <n v="3"/>
    <n v="35"/>
    <n v="50"/>
    <n v="10"/>
    <n v="12"/>
    <x v="0"/>
    <s v="Female"/>
    <n v="70"/>
    <s v="Hubballi"/>
    <x v="3"/>
    <x v="1"/>
    <s v="B3610"/>
    <d v="2027-10-16T00:00:00"/>
    <n v="150"/>
    <n v="105"/>
    <n v="45"/>
    <n v="0.3"/>
    <n v="2025"/>
    <x v="0"/>
  </r>
  <r>
    <n v="1119"/>
    <x v="162"/>
    <x v="10"/>
    <x v="5"/>
    <s v="GSK"/>
    <s v="Tablet"/>
    <s v="500 mg"/>
    <n v="3"/>
    <n v="22"/>
    <n v="32"/>
    <n v="0"/>
    <n v="12"/>
    <x v="0"/>
    <s v="Male"/>
    <n v="20"/>
    <s v="Tumakuru"/>
    <x v="1"/>
    <x v="3"/>
    <s v="B2005"/>
    <d v="2026-03-11T00:00:00"/>
    <n v="96"/>
    <n v="66"/>
    <n v="30"/>
    <n v="0.3125"/>
    <n v="2025"/>
    <x v="3"/>
  </r>
  <r>
    <n v="1133"/>
    <x v="163"/>
    <x v="2"/>
    <x v="2"/>
    <s v="Merck"/>
    <s v="Capsule"/>
    <s v="400 mg"/>
    <n v="3"/>
    <n v="25"/>
    <n v="38"/>
    <n v="10"/>
    <n v="12"/>
    <x v="0"/>
    <s v="Female"/>
    <n v="67"/>
    <s v="Mysuru"/>
    <x v="4"/>
    <x v="2"/>
    <s v="B4927"/>
    <d v="2027-09-07T00:00:00"/>
    <n v="114"/>
    <n v="75"/>
    <n v="39"/>
    <n v="0.34210526315789475"/>
    <n v="2025"/>
    <x v="2"/>
  </r>
  <r>
    <n v="1144"/>
    <x v="164"/>
    <x v="7"/>
    <x v="5"/>
    <s v="Micro Labs"/>
    <s v="Tablet"/>
    <s v="650 mg"/>
    <n v="3"/>
    <n v="25"/>
    <n v="35"/>
    <n v="0"/>
    <n v="12"/>
    <x v="1"/>
    <s v="Female"/>
    <n v="39"/>
    <s v="Bengaluru"/>
    <x v="1"/>
    <x v="0"/>
    <s v="B6206"/>
    <d v="2027-01-04T00:00:00"/>
    <n v="105"/>
    <n v="75"/>
    <n v="30"/>
    <n v="0.2857142857142857"/>
    <n v="2025"/>
    <x v="10"/>
  </r>
  <r>
    <n v="1152"/>
    <x v="165"/>
    <x v="5"/>
    <x v="3"/>
    <s v="USV"/>
    <s v="Tablet"/>
    <s v="75 mg"/>
    <n v="3"/>
    <n v="12"/>
    <n v="20"/>
    <n v="10"/>
    <n v="12"/>
    <x v="2"/>
    <s v="Male"/>
    <n v="64"/>
    <s v="Mysuru"/>
    <x v="2"/>
    <x v="3"/>
    <s v="B7374"/>
    <d v="2026-08-04T00:00:00"/>
    <n v="60"/>
    <n v="36"/>
    <n v="24"/>
    <n v="0.4"/>
    <n v="2025"/>
    <x v="2"/>
  </r>
  <r>
    <n v="1159"/>
    <x v="166"/>
    <x v="10"/>
    <x v="5"/>
    <s v="GSK"/>
    <s v="Tablet"/>
    <s v="500 mg"/>
    <n v="3"/>
    <n v="22"/>
    <n v="32"/>
    <n v="5"/>
    <n v="12"/>
    <x v="0"/>
    <s v="Female"/>
    <n v="50"/>
    <s v="Hubballi"/>
    <x v="4"/>
    <x v="0"/>
    <s v="B5896"/>
    <d v="2028-04-08T00:00:00"/>
    <n v="96"/>
    <n v="66"/>
    <n v="30"/>
    <n v="0.3125"/>
    <n v="2025"/>
    <x v="5"/>
  </r>
  <r>
    <n v="1167"/>
    <x v="167"/>
    <x v="10"/>
    <x v="5"/>
    <s v="GSK"/>
    <s v="Tablet"/>
    <s v="500 mg"/>
    <n v="3"/>
    <n v="22"/>
    <n v="32"/>
    <n v="0"/>
    <n v="12"/>
    <x v="2"/>
    <s v="Female"/>
    <n v="32"/>
    <s v="Bengaluru"/>
    <x v="0"/>
    <x v="2"/>
    <s v="B3191"/>
    <d v="2026-09-22T00:00:00"/>
    <n v="96"/>
    <n v="66"/>
    <n v="30"/>
    <n v="0.3125"/>
    <n v="2025"/>
    <x v="0"/>
  </r>
  <r>
    <n v="1177"/>
    <x v="168"/>
    <x v="11"/>
    <x v="8"/>
    <s v="Sun Pharma"/>
    <s v="Tablet"/>
    <s v="NA"/>
    <n v="3"/>
    <n v="95"/>
    <n v="125"/>
    <n v="10"/>
    <n v="12"/>
    <x v="2"/>
    <s v="Female"/>
    <n v="70"/>
    <s v="Hubballi"/>
    <x v="1"/>
    <x v="4"/>
    <s v="B5505"/>
    <d v="2027-05-25T00:00:00"/>
    <n v="375"/>
    <n v="285"/>
    <n v="90"/>
    <n v="0.24"/>
    <n v="2025"/>
    <x v="1"/>
  </r>
  <r>
    <n v="1183"/>
    <x v="169"/>
    <x v="4"/>
    <x v="0"/>
    <s v="Cipla"/>
    <s v="Tablet"/>
    <s v="500 mg"/>
    <n v="3"/>
    <n v="90"/>
    <n v="120"/>
    <n v="0"/>
    <n v="12"/>
    <x v="0"/>
    <s v="Male"/>
    <n v="50"/>
    <s v="Bengaluru"/>
    <x v="2"/>
    <x v="1"/>
    <s v="B6897"/>
    <d v="2026-10-03T00:00:00"/>
    <n v="360"/>
    <n v="270"/>
    <n v="90"/>
    <n v="0.25"/>
    <n v="2025"/>
    <x v="5"/>
  </r>
  <r>
    <n v="1190"/>
    <x v="170"/>
    <x v="11"/>
    <x v="8"/>
    <s v="Sun Pharma"/>
    <s v="Tablet"/>
    <s v="NA"/>
    <n v="3"/>
    <n v="95"/>
    <n v="125"/>
    <n v="0"/>
    <n v="12"/>
    <x v="2"/>
    <s v="Female"/>
    <n v="66"/>
    <s v="Tumakuru"/>
    <x v="1"/>
    <x v="1"/>
    <s v="B9216"/>
    <d v="2027-04-08T00:00:00"/>
    <n v="375"/>
    <n v="285"/>
    <n v="90"/>
    <n v="0.24"/>
    <n v="2025"/>
    <x v="1"/>
  </r>
  <r>
    <n v="1194"/>
    <x v="171"/>
    <x v="14"/>
    <x v="5"/>
    <s v="GSK"/>
    <s v="Tablet"/>
    <s v="650 mg"/>
    <n v="3"/>
    <n v="24"/>
    <n v="34"/>
    <n v="0"/>
    <n v="12"/>
    <x v="1"/>
    <s v="Male"/>
    <n v="30"/>
    <s v="Hubballi"/>
    <x v="3"/>
    <x v="4"/>
    <s v="B6294"/>
    <d v="2025-11-22T00:00:00"/>
    <n v="102"/>
    <n v="72"/>
    <n v="30"/>
    <n v="0.29411764705882354"/>
    <n v="2025"/>
    <x v="1"/>
  </r>
  <r>
    <n v="1202"/>
    <x v="70"/>
    <x v="12"/>
    <x v="7"/>
    <s v="Alkem"/>
    <s v="Capsule"/>
    <s v="40 mg"/>
    <n v="3"/>
    <n v="70"/>
    <n v="95"/>
    <n v="10"/>
    <n v="12"/>
    <x v="2"/>
    <s v="Male"/>
    <n v="24"/>
    <s v="Tumakuru"/>
    <x v="1"/>
    <x v="0"/>
    <s v="B9033"/>
    <d v="2026-07-28T00:00:00"/>
    <n v="285"/>
    <n v="210"/>
    <n v="75"/>
    <n v="0.26315789473684209"/>
    <n v="2025"/>
    <x v="11"/>
  </r>
  <r>
    <n v="1204"/>
    <x v="12"/>
    <x v="5"/>
    <x v="3"/>
    <s v="USV"/>
    <s v="Tablet"/>
    <s v="75 mg"/>
    <n v="3"/>
    <n v="12"/>
    <n v="20"/>
    <n v="10"/>
    <n v="12"/>
    <x v="0"/>
    <s v="Female"/>
    <n v="71"/>
    <s v="Mysuru"/>
    <x v="0"/>
    <x v="4"/>
    <s v="B4709"/>
    <d v="2026-09-02T00:00:00"/>
    <n v="60"/>
    <n v="36"/>
    <n v="24"/>
    <n v="0.4"/>
    <n v="2025"/>
    <x v="1"/>
  </r>
  <r>
    <n v="1210"/>
    <x v="172"/>
    <x v="10"/>
    <x v="5"/>
    <s v="GSK"/>
    <s v="Tablet"/>
    <s v="500 mg"/>
    <n v="3"/>
    <n v="22"/>
    <n v="32"/>
    <n v="10"/>
    <n v="12"/>
    <x v="2"/>
    <s v="Male"/>
    <n v="18"/>
    <s v="Hubballi"/>
    <x v="0"/>
    <x v="1"/>
    <s v="B2315"/>
    <d v="2025-10-26T00:00:00"/>
    <n v="96"/>
    <n v="66"/>
    <n v="30"/>
    <n v="0.3125"/>
    <n v="2025"/>
    <x v="8"/>
  </r>
  <r>
    <n v="1217"/>
    <x v="150"/>
    <x v="2"/>
    <x v="2"/>
    <s v="Merck"/>
    <s v="Capsule"/>
    <s v="400 mg"/>
    <n v="3"/>
    <n v="25"/>
    <n v="38"/>
    <n v="0"/>
    <n v="12"/>
    <x v="2"/>
    <s v="Male"/>
    <n v="47"/>
    <s v="Mysuru"/>
    <x v="1"/>
    <x v="1"/>
    <s v="B1757"/>
    <d v="2026-05-20T00:00:00"/>
    <n v="114"/>
    <n v="75"/>
    <n v="39"/>
    <n v="0.34210526315789475"/>
    <n v="2025"/>
    <x v="6"/>
  </r>
  <r>
    <n v="1220"/>
    <x v="15"/>
    <x v="2"/>
    <x v="2"/>
    <s v="Merck"/>
    <s v="Capsule"/>
    <s v="400 mg"/>
    <n v="3"/>
    <n v="25"/>
    <n v="38"/>
    <n v="5"/>
    <n v="12"/>
    <x v="0"/>
    <s v="Female"/>
    <n v="56"/>
    <s v="Hubballi"/>
    <x v="0"/>
    <x v="1"/>
    <s v="B5106"/>
    <d v="2027-08-30T00:00:00"/>
    <n v="114"/>
    <n v="75"/>
    <n v="39"/>
    <n v="0.34210526315789475"/>
    <n v="2025"/>
    <x v="1"/>
  </r>
  <r>
    <n v="1226"/>
    <x v="173"/>
    <x v="3"/>
    <x v="2"/>
    <s v="Abbott"/>
    <s v="Tablet"/>
    <s v="500 mg"/>
    <n v="3"/>
    <n v="18"/>
    <n v="28"/>
    <n v="5"/>
    <n v="12"/>
    <x v="0"/>
    <s v="Female"/>
    <n v="41"/>
    <s v="Mysuru"/>
    <x v="0"/>
    <x v="2"/>
    <s v="B3402"/>
    <d v="2026-06-13T00:00:00"/>
    <n v="84"/>
    <n v="54"/>
    <n v="30"/>
    <n v="0.35714285714285715"/>
    <n v="2025"/>
    <x v="3"/>
  </r>
  <r>
    <n v="1230"/>
    <x v="174"/>
    <x v="6"/>
    <x v="4"/>
    <s v="Torrent"/>
    <s v="Tablet"/>
    <s v="500 mg"/>
    <n v="3"/>
    <n v="80"/>
    <n v="110"/>
    <n v="10"/>
    <n v="12"/>
    <x v="0"/>
    <s v="Female"/>
    <n v="22"/>
    <s v="Tumakuru"/>
    <x v="3"/>
    <x v="3"/>
    <s v="B8578"/>
    <d v="2026-12-05T00:00:00"/>
    <n v="330"/>
    <n v="240"/>
    <n v="90"/>
    <n v="0.27272727272727271"/>
    <n v="2025"/>
    <x v="7"/>
  </r>
  <r>
    <n v="1240"/>
    <x v="104"/>
    <x v="7"/>
    <x v="5"/>
    <s v="Micro Labs"/>
    <s v="Tablet"/>
    <s v="650 mg"/>
    <n v="3"/>
    <n v="25"/>
    <n v="35"/>
    <n v="0"/>
    <n v="12"/>
    <x v="2"/>
    <s v="Female"/>
    <n v="43"/>
    <s v="Hubballi"/>
    <x v="4"/>
    <x v="0"/>
    <s v="B2299"/>
    <d v="2027-05-11T00:00:00"/>
    <n v="105"/>
    <n v="75"/>
    <n v="30"/>
    <n v="0.2857142857142857"/>
    <n v="2025"/>
    <x v="1"/>
  </r>
  <r>
    <n v="1242"/>
    <x v="36"/>
    <x v="0"/>
    <x v="0"/>
    <s v="GSK"/>
    <s v="Tablet"/>
    <s v="625 mg"/>
    <n v="3"/>
    <n v="140"/>
    <n v="180"/>
    <n v="5"/>
    <n v="12"/>
    <x v="2"/>
    <s v="Female"/>
    <n v="58"/>
    <s v="Tumakuru"/>
    <x v="4"/>
    <x v="2"/>
    <s v="B3608"/>
    <d v="2025-09-13T00:00:00"/>
    <n v="540"/>
    <n v="420"/>
    <n v="120"/>
    <n v="0.22222222222222221"/>
    <n v="2025"/>
    <x v="3"/>
  </r>
  <r>
    <n v="1244"/>
    <x v="175"/>
    <x v="7"/>
    <x v="5"/>
    <s v="Micro Labs"/>
    <s v="Tablet"/>
    <s v="650 mg"/>
    <n v="3"/>
    <n v="25"/>
    <n v="35"/>
    <n v="5"/>
    <n v="12"/>
    <x v="0"/>
    <s v="Female"/>
    <n v="57"/>
    <s v="Bengaluru"/>
    <x v="0"/>
    <x v="0"/>
    <s v="B4336"/>
    <d v="2027-02-21T00:00:00"/>
    <n v="105"/>
    <n v="75"/>
    <n v="30"/>
    <n v="0.2857142857142857"/>
    <n v="2025"/>
    <x v="7"/>
  </r>
  <r>
    <n v="1247"/>
    <x v="26"/>
    <x v="12"/>
    <x v="7"/>
    <s v="Alkem"/>
    <s v="Capsule"/>
    <s v="40 mg"/>
    <n v="3"/>
    <n v="70"/>
    <n v="95"/>
    <n v="0"/>
    <n v="12"/>
    <x v="0"/>
    <s v="Male"/>
    <n v="46"/>
    <s v="Bengaluru"/>
    <x v="0"/>
    <x v="3"/>
    <s v="B1908"/>
    <d v="2026-03-11T00:00:00"/>
    <n v="285"/>
    <n v="210"/>
    <n v="75"/>
    <n v="0.26315789473684209"/>
    <n v="2025"/>
    <x v="8"/>
  </r>
  <r>
    <n v="1256"/>
    <x v="176"/>
    <x v="1"/>
    <x v="1"/>
    <s v="Glenmark"/>
    <s v="Tablet"/>
    <s v="40 mg"/>
    <n v="3"/>
    <n v="75"/>
    <n v="100"/>
    <n v="0"/>
    <n v="12"/>
    <x v="1"/>
    <s v="Male"/>
    <n v="64"/>
    <s v="Mysuru"/>
    <x v="0"/>
    <x v="0"/>
    <s v="B1522"/>
    <d v="2026-12-21T00:00:00"/>
    <n v="300"/>
    <n v="225"/>
    <n v="75"/>
    <n v="0.25"/>
    <n v="2025"/>
    <x v="10"/>
  </r>
  <r>
    <n v="1257"/>
    <x v="177"/>
    <x v="2"/>
    <x v="2"/>
    <s v="Merck"/>
    <s v="Capsule"/>
    <s v="400 mg"/>
    <n v="3"/>
    <n v="25"/>
    <n v="38"/>
    <n v="5"/>
    <n v="12"/>
    <x v="0"/>
    <s v="Male"/>
    <n v="22"/>
    <s v="Hubballi"/>
    <x v="3"/>
    <x v="2"/>
    <s v="B5017"/>
    <d v="2027-04-28T00:00:00"/>
    <n v="114"/>
    <n v="75"/>
    <n v="39"/>
    <n v="0.34210526315789475"/>
    <n v="2025"/>
    <x v="5"/>
  </r>
  <r>
    <n v="1259"/>
    <x v="178"/>
    <x v="8"/>
    <x v="6"/>
    <s v="USV"/>
    <s v="Tablet"/>
    <s v="500 mg"/>
    <n v="3"/>
    <n v="45"/>
    <n v="65"/>
    <n v="0"/>
    <n v="12"/>
    <x v="1"/>
    <s v="Male"/>
    <n v="40"/>
    <s v="Tumakuru"/>
    <x v="0"/>
    <x v="3"/>
    <s v="B9976"/>
    <d v="2027-06-24T00:00:00"/>
    <n v="195"/>
    <n v="135"/>
    <n v="60"/>
    <n v="0.30769230769230771"/>
    <n v="2025"/>
    <x v="8"/>
  </r>
  <r>
    <n v="1260"/>
    <x v="159"/>
    <x v="11"/>
    <x v="8"/>
    <s v="Sun Pharma"/>
    <s v="Tablet"/>
    <s v="NA"/>
    <n v="3"/>
    <n v="95"/>
    <n v="125"/>
    <n v="10"/>
    <n v="12"/>
    <x v="1"/>
    <s v="Male"/>
    <n v="34"/>
    <s v="Hubballi"/>
    <x v="2"/>
    <x v="4"/>
    <s v="B4340"/>
    <d v="2027-09-23T00:00:00"/>
    <n v="375"/>
    <n v="285"/>
    <n v="90"/>
    <n v="0.24"/>
    <n v="2025"/>
    <x v="11"/>
  </r>
  <r>
    <n v="1261"/>
    <x v="4"/>
    <x v="14"/>
    <x v="5"/>
    <s v="GSK"/>
    <s v="Tablet"/>
    <s v="650 mg"/>
    <n v="3"/>
    <n v="24"/>
    <n v="34"/>
    <n v="5"/>
    <n v="12"/>
    <x v="2"/>
    <s v="Male"/>
    <n v="49"/>
    <s v="Bengaluru"/>
    <x v="1"/>
    <x v="4"/>
    <s v="B8612"/>
    <d v="2025-11-30T00:00:00"/>
    <n v="102"/>
    <n v="72"/>
    <n v="30"/>
    <n v="0.29411764705882354"/>
    <n v="2025"/>
    <x v="3"/>
  </r>
  <r>
    <n v="1263"/>
    <x v="71"/>
    <x v="10"/>
    <x v="5"/>
    <s v="GSK"/>
    <s v="Tablet"/>
    <s v="500 mg"/>
    <n v="3"/>
    <n v="22"/>
    <n v="32"/>
    <n v="10"/>
    <n v="12"/>
    <x v="2"/>
    <s v="Male"/>
    <n v="47"/>
    <s v="Bengaluru"/>
    <x v="3"/>
    <x v="1"/>
    <s v="B5291"/>
    <d v="2026-08-03T00:00:00"/>
    <n v="96"/>
    <n v="66"/>
    <n v="30"/>
    <n v="0.3125"/>
    <n v="2025"/>
    <x v="3"/>
  </r>
  <r>
    <n v="1268"/>
    <x v="39"/>
    <x v="7"/>
    <x v="5"/>
    <s v="Micro Labs"/>
    <s v="Tablet"/>
    <s v="650 mg"/>
    <n v="3"/>
    <n v="25"/>
    <n v="35"/>
    <n v="5"/>
    <n v="12"/>
    <x v="0"/>
    <s v="Male"/>
    <n v="53"/>
    <s v="Bengaluru"/>
    <x v="2"/>
    <x v="2"/>
    <s v="B2310"/>
    <d v="2028-04-06T00:00:00"/>
    <n v="105"/>
    <n v="75"/>
    <n v="30"/>
    <n v="0.2857142857142857"/>
    <n v="2025"/>
    <x v="10"/>
  </r>
  <r>
    <n v="1269"/>
    <x v="179"/>
    <x v="9"/>
    <x v="7"/>
    <s v="Sun Pharma"/>
    <s v="Tablet"/>
    <s v="40 mg"/>
    <n v="3"/>
    <n v="60"/>
    <n v="85"/>
    <n v="0"/>
    <n v="12"/>
    <x v="1"/>
    <s v="Male"/>
    <n v="49"/>
    <s v="Mysuru"/>
    <x v="1"/>
    <x v="4"/>
    <s v="B1954"/>
    <d v="2026-06-02T00:00:00"/>
    <n v="255"/>
    <n v="180"/>
    <n v="75"/>
    <n v="0.29411764705882354"/>
    <n v="2025"/>
    <x v="0"/>
  </r>
  <r>
    <n v="1271"/>
    <x v="28"/>
    <x v="6"/>
    <x v="4"/>
    <s v="Torrent"/>
    <s v="Tablet"/>
    <s v="500 mg"/>
    <n v="3"/>
    <n v="80"/>
    <n v="110"/>
    <n v="5"/>
    <n v="12"/>
    <x v="1"/>
    <s v="Male"/>
    <n v="64"/>
    <s v="Bengaluru"/>
    <x v="0"/>
    <x v="3"/>
    <s v="B6405"/>
    <d v="2027-05-31T00:00:00"/>
    <n v="330"/>
    <n v="240"/>
    <n v="90"/>
    <n v="0.27272727272727271"/>
    <n v="2025"/>
    <x v="6"/>
  </r>
  <r>
    <n v="1274"/>
    <x v="180"/>
    <x v="13"/>
    <x v="2"/>
    <s v="Pfizer"/>
    <s v="Capsule"/>
    <s v="NA"/>
    <n v="3"/>
    <n v="35"/>
    <n v="50"/>
    <n v="0"/>
    <n v="12"/>
    <x v="1"/>
    <s v="Male"/>
    <n v="55"/>
    <s v="Hubballi"/>
    <x v="4"/>
    <x v="4"/>
    <s v="B8892"/>
    <d v="2026-02-03T00:00:00"/>
    <n v="150"/>
    <n v="105"/>
    <n v="45"/>
    <n v="0.3"/>
    <n v="2025"/>
    <x v="3"/>
  </r>
  <r>
    <n v="1278"/>
    <x v="181"/>
    <x v="6"/>
    <x v="4"/>
    <s v="Torrent"/>
    <s v="Tablet"/>
    <s v="500 mg"/>
    <n v="3"/>
    <n v="80"/>
    <n v="110"/>
    <n v="5"/>
    <n v="12"/>
    <x v="2"/>
    <s v="Male"/>
    <n v="23"/>
    <s v="Hubballi"/>
    <x v="0"/>
    <x v="1"/>
    <s v="B9140"/>
    <d v="2026-03-01T00:00:00"/>
    <n v="330"/>
    <n v="240"/>
    <n v="90"/>
    <n v="0.27272727272727271"/>
    <n v="2025"/>
    <x v="6"/>
  </r>
  <r>
    <n v="1308"/>
    <x v="182"/>
    <x v="0"/>
    <x v="0"/>
    <s v="GSK"/>
    <s v="Tablet"/>
    <s v="625 mg"/>
    <n v="3"/>
    <n v="140"/>
    <n v="180"/>
    <n v="5"/>
    <n v="12"/>
    <x v="2"/>
    <s v="Male"/>
    <n v="61"/>
    <s v="Tumakuru"/>
    <x v="3"/>
    <x v="3"/>
    <s v="B9649"/>
    <d v="2026-03-03T00:00:00"/>
    <n v="540"/>
    <n v="420"/>
    <n v="120"/>
    <n v="0.22222222222222221"/>
    <n v="2025"/>
    <x v="0"/>
  </r>
  <r>
    <n v="1309"/>
    <x v="83"/>
    <x v="3"/>
    <x v="2"/>
    <s v="Abbott"/>
    <s v="Tablet"/>
    <s v="500 mg"/>
    <n v="3"/>
    <n v="18"/>
    <n v="28"/>
    <n v="5"/>
    <n v="12"/>
    <x v="2"/>
    <s v="Female"/>
    <n v="56"/>
    <s v="Mysuru"/>
    <x v="3"/>
    <x v="4"/>
    <s v="B6927"/>
    <d v="2026-10-10T00:00:00"/>
    <n v="84"/>
    <n v="54"/>
    <n v="30"/>
    <n v="0.35714285714285715"/>
    <n v="2025"/>
    <x v="2"/>
  </r>
  <r>
    <n v="1311"/>
    <x v="183"/>
    <x v="3"/>
    <x v="2"/>
    <s v="Abbott"/>
    <s v="Tablet"/>
    <s v="500 mg"/>
    <n v="3"/>
    <n v="18"/>
    <n v="28"/>
    <n v="5"/>
    <n v="12"/>
    <x v="2"/>
    <s v="Male"/>
    <n v="69"/>
    <s v="Tumakuru"/>
    <x v="1"/>
    <x v="0"/>
    <s v="B3763"/>
    <d v="2027-11-13T00:00:00"/>
    <n v="84"/>
    <n v="54"/>
    <n v="30"/>
    <n v="0.35714285714285715"/>
    <n v="2025"/>
    <x v="5"/>
  </r>
  <r>
    <n v="1318"/>
    <x v="184"/>
    <x v="7"/>
    <x v="5"/>
    <s v="Micro Labs"/>
    <s v="Tablet"/>
    <s v="650 mg"/>
    <n v="3"/>
    <n v="25"/>
    <n v="35"/>
    <n v="5"/>
    <n v="12"/>
    <x v="0"/>
    <s v="Male"/>
    <n v="41"/>
    <s v="Mysuru"/>
    <x v="1"/>
    <x v="3"/>
    <s v="B9757"/>
    <d v="2026-08-01T00:00:00"/>
    <n v="105"/>
    <n v="75"/>
    <n v="30"/>
    <n v="0.2857142857142857"/>
    <n v="2025"/>
    <x v="6"/>
  </r>
  <r>
    <n v="1323"/>
    <x v="185"/>
    <x v="7"/>
    <x v="5"/>
    <s v="Micro Labs"/>
    <s v="Tablet"/>
    <s v="650 mg"/>
    <n v="3"/>
    <n v="25"/>
    <n v="35"/>
    <n v="10"/>
    <n v="12"/>
    <x v="1"/>
    <s v="Female"/>
    <n v="62"/>
    <s v="Tumakuru"/>
    <x v="0"/>
    <x v="3"/>
    <s v="B9181"/>
    <d v="2027-06-28T00:00:00"/>
    <n v="105"/>
    <n v="75"/>
    <n v="30"/>
    <n v="0.2857142857142857"/>
    <n v="2025"/>
    <x v="11"/>
  </r>
  <r>
    <n v="1329"/>
    <x v="80"/>
    <x v="14"/>
    <x v="5"/>
    <s v="GSK"/>
    <s v="Tablet"/>
    <s v="650 mg"/>
    <n v="3"/>
    <n v="24"/>
    <n v="34"/>
    <n v="10"/>
    <n v="12"/>
    <x v="1"/>
    <s v="Female"/>
    <n v="65"/>
    <s v="Tumakuru"/>
    <x v="4"/>
    <x v="4"/>
    <s v="B4616"/>
    <d v="2026-12-30T00:00:00"/>
    <n v="102"/>
    <n v="72"/>
    <n v="30"/>
    <n v="0.29411764705882354"/>
    <n v="2025"/>
    <x v="4"/>
  </r>
  <r>
    <n v="1332"/>
    <x v="120"/>
    <x v="7"/>
    <x v="5"/>
    <s v="Micro Labs"/>
    <s v="Tablet"/>
    <s v="650 mg"/>
    <n v="3"/>
    <n v="25"/>
    <n v="35"/>
    <n v="5"/>
    <n v="12"/>
    <x v="0"/>
    <s v="Female"/>
    <n v="33"/>
    <s v="Tumakuru"/>
    <x v="0"/>
    <x v="3"/>
    <s v="B9277"/>
    <d v="2027-04-21T00:00:00"/>
    <n v="105"/>
    <n v="75"/>
    <n v="30"/>
    <n v="0.2857142857142857"/>
    <n v="2025"/>
    <x v="4"/>
  </r>
  <r>
    <n v="1333"/>
    <x v="2"/>
    <x v="9"/>
    <x v="7"/>
    <s v="Sun Pharma"/>
    <s v="Tablet"/>
    <s v="40 mg"/>
    <n v="3"/>
    <n v="60"/>
    <n v="85"/>
    <n v="5"/>
    <n v="12"/>
    <x v="2"/>
    <s v="Female"/>
    <n v="57"/>
    <s v="Tumakuru"/>
    <x v="1"/>
    <x v="4"/>
    <s v="B1325"/>
    <d v="2026-11-30T00:00:00"/>
    <n v="255"/>
    <n v="180"/>
    <n v="75"/>
    <n v="0.29411764705882354"/>
    <n v="2025"/>
    <x v="0"/>
  </r>
  <r>
    <n v="1334"/>
    <x v="65"/>
    <x v="10"/>
    <x v="5"/>
    <s v="GSK"/>
    <s v="Tablet"/>
    <s v="500 mg"/>
    <n v="3"/>
    <n v="22"/>
    <n v="32"/>
    <n v="0"/>
    <n v="12"/>
    <x v="1"/>
    <s v="Male"/>
    <n v="64"/>
    <s v="Bengaluru"/>
    <x v="4"/>
    <x v="4"/>
    <s v="B8149"/>
    <d v="2026-03-28T00:00:00"/>
    <n v="96"/>
    <n v="66"/>
    <n v="30"/>
    <n v="0.3125"/>
    <n v="2025"/>
    <x v="2"/>
  </r>
  <r>
    <n v="1338"/>
    <x v="186"/>
    <x v="14"/>
    <x v="5"/>
    <s v="GSK"/>
    <s v="Tablet"/>
    <s v="650 mg"/>
    <n v="3"/>
    <n v="24"/>
    <n v="34"/>
    <n v="10"/>
    <n v="12"/>
    <x v="2"/>
    <s v="Female"/>
    <n v="30"/>
    <s v="Tumakuru"/>
    <x v="4"/>
    <x v="3"/>
    <s v="B7580"/>
    <d v="2027-09-18T00:00:00"/>
    <n v="102"/>
    <n v="72"/>
    <n v="30"/>
    <n v="0.29411764705882354"/>
    <n v="2025"/>
    <x v="11"/>
  </r>
  <r>
    <n v="1343"/>
    <x v="4"/>
    <x v="11"/>
    <x v="8"/>
    <s v="Sun Pharma"/>
    <s v="Tablet"/>
    <s v="NA"/>
    <n v="3"/>
    <n v="95"/>
    <n v="125"/>
    <n v="5"/>
    <n v="12"/>
    <x v="1"/>
    <s v="Female"/>
    <n v="50"/>
    <s v="Tumakuru"/>
    <x v="1"/>
    <x v="0"/>
    <s v="B7825"/>
    <d v="2027-03-08T00:00:00"/>
    <n v="375"/>
    <n v="285"/>
    <n v="90"/>
    <n v="0.24"/>
    <n v="2025"/>
    <x v="3"/>
  </r>
  <r>
    <n v="1347"/>
    <x v="187"/>
    <x v="9"/>
    <x v="7"/>
    <s v="Sun Pharma"/>
    <s v="Tablet"/>
    <s v="40 mg"/>
    <n v="3"/>
    <n v="60"/>
    <n v="85"/>
    <n v="10"/>
    <n v="12"/>
    <x v="2"/>
    <s v="Male"/>
    <n v="22"/>
    <s v="Mysuru"/>
    <x v="0"/>
    <x v="4"/>
    <s v="B4020"/>
    <d v="2027-01-12T00:00:00"/>
    <n v="255"/>
    <n v="180"/>
    <n v="75"/>
    <n v="0.29411764705882354"/>
    <n v="2025"/>
    <x v="11"/>
  </r>
  <r>
    <n v="1372"/>
    <x v="188"/>
    <x v="9"/>
    <x v="7"/>
    <s v="Sun Pharma"/>
    <s v="Tablet"/>
    <s v="40 mg"/>
    <n v="3"/>
    <n v="60"/>
    <n v="85"/>
    <n v="5"/>
    <n v="12"/>
    <x v="1"/>
    <s v="Male"/>
    <n v="54"/>
    <s v="Tumakuru"/>
    <x v="3"/>
    <x v="0"/>
    <s v="B8661"/>
    <d v="2026-08-23T00:00:00"/>
    <n v="255"/>
    <n v="180"/>
    <n v="75"/>
    <n v="0.29411764705882354"/>
    <n v="2025"/>
    <x v="4"/>
  </r>
  <r>
    <n v="1375"/>
    <x v="189"/>
    <x v="9"/>
    <x v="7"/>
    <s v="Sun Pharma"/>
    <s v="Tablet"/>
    <s v="40 mg"/>
    <n v="3"/>
    <n v="60"/>
    <n v="85"/>
    <n v="0"/>
    <n v="12"/>
    <x v="0"/>
    <s v="Male"/>
    <n v="27"/>
    <s v="Bengaluru"/>
    <x v="3"/>
    <x v="0"/>
    <s v="B1776"/>
    <d v="2027-05-23T00:00:00"/>
    <n v="255"/>
    <n v="180"/>
    <n v="75"/>
    <n v="0.29411764705882354"/>
    <n v="2025"/>
    <x v="11"/>
  </r>
  <r>
    <n v="1378"/>
    <x v="190"/>
    <x v="5"/>
    <x v="3"/>
    <s v="USV"/>
    <s v="Tablet"/>
    <s v="75 mg"/>
    <n v="3"/>
    <n v="12"/>
    <n v="20"/>
    <n v="5"/>
    <n v="12"/>
    <x v="0"/>
    <s v="Female"/>
    <n v="71"/>
    <s v="Tumakuru"/>
    <x v="1"/>
    <x v="4"/>
    <s v="B2219"/>
    <d v="2027-12-30T00:00:00"/>
    <n v="60"/>
    <n v="36"/>
    <n v="24"/>
    <n v="0.4"/>
    <n v="2025"/>
    <x v="2"/>
  </r>
  <r>
    <n v="1379"/>
    <x v="160"/>
    <x v="10"/>
    <x v="5"/>
    <s v="GSK"/>
    <s v="Tablet"/>
    <s v="500 mg"/>
    <n v="3"/>
    <n v="22"/>
    <n v="32"/>
    <n v="0"/>
    <n v="12"/>
    <x v="0"/>
    <s v="Male"/>
    <n v="23"/>
    <s v="Hubballi"/>
    <x v="0"/>
    <x v="0"/>
    <s v="B2057"/>
    <d v="2026-10-13T00:00:00"/>
    <n v="96"/>
    <n v="66"/>
    <n v="30"/>
    <n v="0.3125"/>
    <n v="2025"/>
    <x v="5"/>
  </r>
  <r>
    <n v="1383"/>
    <x v="191"/>
    <x v="12"/>
    <x v="7"/>
    <s v="Alkem"/>
    <s v="Capsule"/>
    <s v="40 mg"/>
    <n v="3"/>
    <n v="70"/>
    <n v="95"/>
    <n v="5"/>
    <n v="12"/>
    <x v="1"/>
    <s v="Male"/>
    <n v="38"/>
    <s v="Mysuru"/>
    <x v="2"/>
    <x v="1"/>
    <s v="B9764"/>
    <d v="2026-07-23T00:00:00"/>
    <n v="285"/>
    <n v="210"/>
    <n v="75"/>
    <n v="0.26315789473684209"/>
    <n v="2025"/>
    <x v="10"/>
  </r>
  <r>
    <n v="1393"/>
    <x v="192"/>
    <x v="5"/>
    <x v="3"/>
    <s v="USV"/>
    <s v="Tablet"/>
    <s v="75 mg"/>
    <n v="3"/>
    <n v="12"/>
    <n v="20"/>
    <n v="0"/>
    <n v="12"/>
    <x v="1"/>
    <s v="Female"/>
    <n v="58"/>
    <s v="Bengaluru"/>
    <x v="1"/>
    <x v="1"/>
    <s v="B3310"/>
    <d v="2028-01-28T00:00:00"/>
    <n v="60"/>
    <n v="36"/>
    <n v="24"/>
    <n v="0.4"/>
    <n v="2025"/>
    <x v="10"/>
  </r>
  <r>
    <n v="1394"/>
    <x v="193"/>
    <x v="13"/>
    <x v="2"/>
    <s v="Pfizer"/>
    <s v="Capsule"/>
    <s v="NA"/>
    <n v="3"/>
    <n v="35"/>
    <n v="50"/>
    <n v="10"/>
    <n v="12"/>
    <x v="2"/>
    <s v="Female"/>
    <n v="69"/>
    <s v="Hubballi"/>
    <x v="3"/>
    <x v="2"/>
    <s v="B3463"/>
    <d v="2025-10-10T00:00:00"/>
    <n v="150"/>
    <n v="105"/>
    <n v="45"/>
    <n v="0.3"/>
    <n v="2025"/>
    <x v="3"/>
  </r>
  <r>
    <n v="1395"/>
    <x v="194"/>
    <x v="11"/>
    <x v="8"/>
    <s v="Sun Pharma"/>
    <s v="Tablet"/>
    <s v="NA"/>
    <n v="3"/>
    <n v="95"/>
    <n v="125"/>
    <n v="5"/>
    <n v="12"/>
    <x v="0"/>
    <s v="Male"/>
    <n v="66"/>
    <s v="Bengaluru"/>
    <x v="1"/>
    <x v="3"/>
    <s v="B8110"/>
    <d v="2027-09-23T00:00:00"/>
    <n v="375"/>
    <n v="285"/>
    <n v="90"/>
    <n v="0.24"/>
    <n v="2025"/>
    <x v="7"/>
  </r>
  <r>
    <n v="1403"/>
    <x v="77"/>
    <x v="7"/>
    <x v="5"/>
    <s v="Micro Labs"/>
    <s v="Tablet"/>
    <s v="650 mg"/>
    <n v="3"/>
    <n v="25"/>
    <n v="35"/>
    <n v="0"/>
    <n v="12"/>
    <x v="2"/>
    <s v="Male"/>
    <n v="19"/>
    <s v="Bengaluru"/>
    <x v="1"/>
    <x v="3"/>
    <s v="B7932"/>
    <d v="2028-02-02T00:00:00"/>
    <n v="105"/>
    <n v="75"/>
    <n v="30"/>
    <n v="0.2857142857142857"/>
    <n v="2025"/>
    <x v="2"/>
  </r>
  <r>
    <n v="1405"/>
    <x v="163"/>
    <x v="7"/>
    <x v="5"/>
    <s v="Micro Labs"/>
    <s v="Tablet"/>
    <s v="650 mg"/>
    <n v="3"/>
    <n v="25"/>
    <n v="35"/>
    <n v="0"/>
    <n v="12"/>
    <x v="2"/>
    <s v="Male"/>
    <n v="21"/>
    <s v="Bengaluru"/>
    <x v="0"/>
    <x v="0"/>
    <s v="B6033"/>
    <d v="2027-07-09T00:00:00"/>
    <n v="105"/>
    <n v="75"/>
    <n v="30"/>
    <n v="0.2857142857142857"/>
    <n v="2025"/>
    <x v="2"/>
  </r>
  <r>
    <n v="1407"/>
    <x v="114"/>
    <x v="2"/>
    <x v="2"/>
    <s v="Merck"/>
    <s v="Capsule"/>
    <s v="400 mg"/>
    <n v="3"/>
    <n v="25"/>
    <n v="38"/>
    <n v="5"/>
    <n v="12"/>
    <x v="1"/>
    <s v="Female"/>
    <n v="74"/>
    <s v="Mysuru"/>
    <x v="3"/>
    <x v="1"/>
    <s v="B1991"/>
    <d v="2026-07-06T00:00:00"/>
    <n v="114"/>
    <n v="75"/>
    <n v="39"/>
    <n v="0.34210526315789475"/>
    <n v="2025"/>
    <x v="0"/>
  </r>
  <r>
    <n v="1410"/>
    <x v="139"/>
    <x v="13"/>
    <x v="2"/>
    <s v="Pfizer"/>
    <s v="Capsule"/>
    <s v="NA"/>
    <n v="3"/>
    <n v="35"/>
    <n v="50"/>
    <n v="0"/>
    <n v="12"/>
    <x v="2"/>
    <s v="Female"/>
    <n v="31"/>
    <s v="Mysuru"/>
    <x v="2"/>
    <x v="4"/>
    <s v="B9189"/>
    <d v="2026-07-13T00:00:00"/>
    <n v="150"/>
    <n v="105"/>
    <n v="45"/>
    <n v="0.3"/>
    <n v="2025"/>
    <x v="5"/>
  </r>
  <r>
    <n v="1411"/>
    <x v="195"/>
    <x v="1"/>
    <x v="1"/>
    <s v="Glenmark"/>
    <s v="Tablet"/>
    <s v="40 mg"/>
    <n v="3"/>
    <n v="75"/>
    <n v="100"/>
    <n v="5"/>
    <n v="12"/>
    <x v="2"/>
    <s v="Male"/>
    <n v="42"/>
    <s v="Mysuru"/>
    <x v="0"/>
    <x v="4"/>
    <s v="B6357"/>
    <d v="2026-10-28T00:00:00"/>
    <n v="300"/>
    <n v="225"/>
    <n v="75"/>
    <n v="0.25"/>
    <n v="2025"/>
    <x v="0"/>
  </r>
  <r>
    <n v="1416"/>
    <x v="196"/>
    <x v="9"/>
    <x v="7"/>
    <s v="Sun Pharma"/>
    <s v="Tablet"/>
    <s v="40 mg"/>
    <n v="3"/>
    <n v="60"/>
    <n v="85"/>
    <n v="10"/>
    <n v="12"/>
    <x v="1"/>
    <s v="Female"/>
    <n v="29"/>
    <s v="Bengaluru"/>
    <x v="2"/>
    <x v="4"/>
    <s v="B3729"/>
    <d v="2026-12-29T00:00:00"/>
    <n v="255"/>
    <n v="180"/>
    <n v="75"/>
    <n v="0.29411764705882354"/>
    <n v="2025"/>
    <x v="7"/>
  </r>
  <r>
    <n v="1424"/>
    <x v="121"/>
    <x v="14"/>
    <x v="5"/>
    <s v="GSK"/>
    <s v="Tablet"/>
    <s v="650 mg"/>
    <n v="3"/>
    <n v="24"/>
    <n v="34"/>
    <n v="10"/>
    <n v="12"/>
    <x v="1"/>
    <s v="Male"/>
    <n v="74"/>
    <s v="Bengaluru"/>
    <x v="3"/>
    <x v="0"/>
    <s v="B5985"/>
    <d v="2026-12-27T00:00:00"/>
    <n v="102"/>
    <n v="72"/>
    <n v="30"/>
    <n v="0.29411764705882354"/>
    <n v="2025"/>
    <x v="2"/>
  </r>
  <r>
    <n v="1425"/>
    <x v="197"/>
    <x v="2"/>
    <x v="2"/>
    <s v="Merck"/>
    <s v="Capsule"/>
    <s v="400 mg"/>
    <n v="3"/>
    <n v="25"/>
    <n v="38"/>
    <n v="0"/>
    <n v="12"/>
    <x v="0"/>
    <s v="Male"/>
    <n v="38"/>
    <s v="Hubballi"/>
    <x v="0"/>
    <x v="1"/>
    <s v="B8823"/>
    <d v="2027-02-03T00:00:00"/>
    <n v="114"/>
    <n v="75"/>
    <n v="39"/>
    <n v="0.34210526315789475"/>
    <n v="2025"/>
    <x v="11"/>
  </r>
  <r>
    <n v="1444"/>
    <x v="79"/>
    <x v="7"/>
    <x v="5"/>
    <s v="Micro Labs"/>
    <s v="Tablet"/>
    <s v="650 mg"/>
    <n v="3"/>
    <n v="25"/>
    <n v="35"/>
    <n v="10"/>
    <n v="12"/>
    <x v="1"/>
    <s v="Male"/>
    <n v="31"/>
    <s v="Mysuru"/>
    <x v="2"/>
    <x v="3"/>
    <s v="B3349"/>
    <d v="2026-12-14T00:00:00"/>
    <n v="105"/>
    <n v="75"/>
    <n v="30"/>
    <n v="0.2857142857142857"/>
    <n v="2025"/>
    <x v="5"/>
  </r>
  <r>
    <n v="1446"/>
    <x v="40"/>
    <x v="7"/>
    <x v="5"/>
    <s v="Micro Labs"/>
    <s v="Tablet"/>
    <s v="650 mg"/>
    <n v="3"/>
    <n v="25"/>
    <n v="35"/>
    <n v="10"/>
    <n v="12"/>
    <x v="0"/>
    <s v="Male"/>
    <n v="23"/>
    <s v="Tumakuru"/>
    <x v="2"/>
    <x v="2"/>
    <s v="B6524"/>
    <d v="2027-09-29T00:00:00"/>
    <n v="105"/>
    <n v="75"/>
    <n v="30"/>
    <n v="0.2857142857142857"/>
    <n v="2025"/>
    <x v="10"/>
  </r>
  <r>
    <n v="1458"/>
    <x v="198"/>
    <x v="11"/>
    <x v="8"/>
    <s v="Sun Pharma"/>
    <s v="Tablet"/>
    <s v="NA"/>
    <n v="3"/>
    <n v="95"/>
    <n v="125"/>
    <n v="5"/>
    <n v="12"/>
    <x v="0"/>
    <s v="Male"/>
    <n v="73"/>
    <s v="Mysuru"/>
    <x v="4"/>
    <x v="2"/>
    <s v="B2600"/>
    <d v="2027-08-16T00:00:00"/>
    <n v="375"/>
    <n v="285"/>
    <n v="90"/>
    <n v="0.24"/>
    <n v="2025"/>
    <x v="10"/>
  </r>
  <r>
    <n v="1469"/>
    <x v="199"/>
    <x v="7"/>
    <x v="5"/>
    <s v="Micro Labs"/>
    <s v="Tablet"/>
    <s v="650 mg"/>
    <n v="3"/>
    <n v="25"/>
    <n v="35"/>
    <n v="5"/>
    <n v="12"/>
    <x v="0"/>
    <s v="Female"/>
    <n v="73"/>
    <s v="Mysuru"/>
    <x v="3"/>
    <x v="4"/>
    <s v="B1955"/>
    <d v="2026-08-26T00:00:00"/>
    <n v="105"/>
    <n v="75"/>
    <n v="30"/>
    <n v="0.2857142857142857"/>
    <n v="2025"/>
    <x v="4"/>
  </r>
  <r>
    <n v="1470"/>
    <x v="171"/>
    <x v="11"/>
    <x v="8"/>
    <s v="Sun Pharma"/>
    <s v="Tablet"/>
    <s v="NA"/>
    <n v="3"/>
    <n v="95"/>
    <n v="125"/>
    <n v="10"/>
    <n v="12"/>
    <x v="2"/>
    <s v="Female"/>
    <n v="29"/>
    <s v="Mysuru"/>
    <x v="4"/>
    <x v="3"/>
    <s v="B3065"/>
    <d v="2025-11-26T00:00:00"/>
    <n v="375"/>
    <n v="285"/>
    <n v="90"/>
    <n v="0.24"/>
    <n v="2025"/>
    <x v="1"/>
  </r>
  <r>
    <n v="1471"/>
    <x v="200"/>
    <x v="3"/>
    <x v="2"/>
    <s v="Abbott"/>
    <s v="Tablet"/>
    <s v="500 mg"/>
    <n v="3"/>
    <n v="18"/>
    <n v="28"/>
    <n v="0"/>
    <n v="12"/>
    <x v="2"/>
    <s v="Female"/>
    <n v="22"/>
    <s v="Hubballi"/>
    <x v="0"/>
    <x v="1"/>
    <s v="B9240"/>
    <d v="2027-06-29T00:00:00"/>
    <n v="84"/>
    <n v="54"/>
    <n v="30"/>
    <n v="0.35714285714285715"/>
    <n v="2025"/>
    <x v="7"/>
  </r>
  <r>
    <n v="1473"/>
    <x v="201"/>
    <x v="14"/>
    <x v="5"/>
    <s v="GSK"/>
    <s v="Tablet"/>
    <s v="650 mg"/>
    <n v="3"/>
    <n v="24"/>
    <n v="34"/>
    <n v="5"/>
    <n v="12"/>
    <x v="0"/>
    <s v="Female"/>
    <n v="41"/>
    <s v="Mysuru"/>
    <x v="2"/>
    <x v="2"/>
    <s v="B7020"/>
    <d v="2027-01-24T00:00:00"/>
    <n v="102"/>
    <n v="72"/>
    <n v="30"/>
    <n v="0.29411764705882354"/>
    <n v="2025"/>
    <x v="5"/>
  </r>
  <r>
    <n v="1481"/>
    <x v="202"/>
    <x v="12"/>
    <x v="7"/>
    <s v="Alkem"/>
    <s v="Capsule"/>
    <s v="40 mg"/>
    <n v="3"/>
    <n v="70"/>
    <n v="95"/>
    <n v="0"/>
    <n v="12"/>
    <x v="1"/>
    <s v="Male"/>
    <n v="37"/>
    <s v="Hubballi"/>
    <x v="2"/>
    <x v="3"/>
    <s v="B4310"/>
    <d v="2026-04-21T00:00:00"/>
    <n v="285"/>
    <n v="210"/>
    <n v="75"/>
    <n v="0.26315789473684209"/>
    <n v="2025"/>
    <x v="11"/>
  </r>
  <r>
    <n v="1482"/>
    <x v="203"/>
    <x v="2"/>
    <x v="2"/>
    <s v="Merck"/>
    <s v="Capsule"/>
    <s v="400 mg"/>
    <n v="3"/>
    <n v="25"/>
    <n v="38"/>
    <n v="0"/>
    <n v="12"/>
    <x v="1"/>
    <s v="Male"/>
    <n v="25"/>
    <s v="Bengaluru"/>
    <x v="1"/>
    <x v="3"/>
    <s v="B2643"/>
    <d v="2026-09-14T00:00:00"/>
    <n v="114"/>
    <n v="75"/>
    <n v="39"/>
    <n v="0.34210526315789475"/>
    <n v="2025"/>
    <x v="11"/>
  </r>
  <r>
    <n v="1484"/>
    <x v="204"/>
    <x v="5"/>
    <x v="3"/>
    <s v="USV"/>
    <s v="Tablet"/>
    <s v="75 mg"/>
    <n v="3"/>
    <n v="12"/>
    <n v="20"/>
    <n v="0"/>
    <n v="12"/>
    <x v="1"/>
    <s v="Female"/>
    <n v="31"/>
    <s v="Bengaluru"/>
    <x v="3"/>
    <x v="4"/>
    <s v="B3421"/>
    <d v="2027-11-18T00:00:00"/>
    <n v="60"/>
    <n v="36"/>
    <n v="24"/>
    <n v="0.4"/>
    <n v="2025"/>
    <x v="5"/>
  </r>
  <r>
    <n v="1489"/>
    <x v="0"/>
    <x v="5"/>
    <x v="3"/>
    <s v="USV"/>
    <s v="Tablet"/>
    <s v="75 mg"/>
    <n v="3"/>
    <n v="12"/>
    <n v="20"/>
    <n v="10"/>
    <n v="12"/>
    <x v="2"/>
    <s v="Female"/>
    <n v="46"/>
    <s v="Tumakuru"/>
    <x v="0"/>
    <x v="2"/>
    <s v="B5219"/>
    <d v="2027-10-19T00:00:00"/>
    <n v="60"/>
    <n v="36"/>
    <n v="24"/>
    <n v="0.4"/>
    <n v="2025"/>
    <x v="0"/>
  </r>
  <r>
    <n v="1492"/>
    <x v="107"/>
    <x v="10"/>
    <x v="5"/>
    <s v="GSK"/>
    <s v="Tablet"/>
    <s v="500 mg"/>
    <n v="3"/>
    <n v="22"/>
    <n v="32"/>
    <n v="10"/>
    <n v="12"/>
    <x v="1"/>
    <s v="Male"/>
    <n v="32"/>
    <s v="Tumakuru"/>
    <x v="1"/>
    <x v="3"/>
    <s v="B5510"/>
    <d v="2026-05-06T00:00:00"/>
    <n v="96"/>
    <n v="66"/>
    <n v="30"/>
    <n v="0.3125"/>
    <n v="2025"/>
    <x v="8"/>
  </r>
  <r>
    <n v="1496"/>
    <x v="205"/>
    <x v="0"/>
    <x v="0"/>
    <s v="GSK"/>
    <s v="Tablet"/>
    <s v="625 mg"/>
    <n v="3"/>
    <n v="140"/>
    <n v="180"/>
    <n v="10"/>
    <n v="12"/>
    <x v="2"/>
    <s v="Male"/>
    <n v="36"/>
    <s v="Hubballi"/>
    <x v="0"/>
    <x v="3"/>
    <s v="B8109"/>
    <d v="2028-01-10T00:00:00"/>
    <n v="540"/>
    <n v="420"/>
    <n v="120"/>
    <n v="0.22222222222222221"/>
    <n v="2025"/>
    <x v="11"/>
  </r>
  <r>
    <n v="1017"/>
    <x v="46"/>
    <x v="6"/>
    <x v="4"/>
    <s v="Torrent"/>
    <s v="Tablet"/>
    <s v="500 mg"/>
    <n v="4"/>
    <n v="80"/>
    <n v="110"/>
    <n v="0"/>
    <n v="12"/>
    <x v="2"/>
    <s v="Female"/>
    <n v="61"/>
    <s v="Hubballi"/>
    <x v="1"/>
    <x v="0"/>
    <s v="B6970"/>
    <d v="2026-04-17T00:00:00"/>
    <n v="440"/>
    <n v="320"/>
    <n v="120"/>
    <n v="0.27272727272727271"/>
    <n v="2025"/>
    <x v="8"/>
  </r>
  <r>
    <n v="1018"/>
    <x v="69"/>
    <x v="8"/>
    <x v="6"/>
    <s v="USV"/>
    <s v="Tablet"/>
    <s v="500 mg"/>
    <n v="4"/>
    <n v="45"/>
    <n v="65"/>
    <n v="0"/>
    <n v="12"/>
    <x v="0"/>
    <s v="Male"/>
    <n v="27"/>
    <s v="Mysuru"/>
    <x v="4"/>
    <x v="2"/>
    <s v="B3454"/>
    <d v="2026-08-08T00:00:00"/>
    <n v="260"/>
    <n v="180"/>
    <n v="80"/>
    <n v="0.30769230769230771"/>
    <n v="2025"/>
    <x v="7"/>
  </r>
  <r>
    <n v="1022"/>
    <x v="206"/>
    <x v="5"/>
    <x v="3"/>
    <s v="USV"/>
    <s v="Tablet"/>
    <s v="75 mg"/>
    <n v="4"/>
    <n v="12"/>
    <n v="20"/>
    <n v="5"/>
    <n v="12"/>
    <x v="2"/>
    <s v="Male"/>
    <n v="41"/>
    <s v="Mysuru"/>
    <x v="4"/>
    <x v="0"/>
    <s v="B3245"/>
    <d v="2026-03-31T00:00:00"/>
    <n v="80"/>
    <n v="48"/>
    <n v="32"/>
    <n v="0.4"/>
    <n v="2025"/>
    <x v="4"/>
  </r>
  <r>
    <n v="1026"/>
    <x v="207"/>
    <x v="10"/>
    <x v="5"/>
    <s v="GSK"/>
    <s v="Tablet"/>
    <s v="500 mg"/>
    <n v="4"/>
    <n v="22"/>
    <n v="32"/>
    <n v="10"/>
    <n v="12"/>
    <x v="0"/>
    <s v="Male"/>
    <n v="73"/>
    <s v="Mysuru"/>
    <x v="0"/>
    <x v="0"/>
    <s v="B4394"/>
    <d v="2027-09-28T00:00:00"/>
    <n v="128"/>
    <n v="88"/>
    <n v="40"/>
    <n v="0.3125"/>
    <n v="2025"/>
    <x v="0"/>
  </r>
  <r>
    <n v="1049"/>
    <x v="208"/>
    <x v="8"/>
    <x v="6"/>
    <s v="USV"/>
    <s v="Tablet"/>
    <s v="500 mg"/>
    <n v="4"/>
    <n v="45"/>
    <n v="65"/>
    <n v="0"/>
    <n v="12"/>
    <x v="1"/>
    <s v="Male"/>
    <n v="48"/>
    <s v="Mysuru"/>
    <x v="3"/>
    <x v="3"/>
    <s v="B6547"/>
    <d v="2027-06-08T00:00:00"/>
    <n v="260"/>
    <n v="180"/>
    <n v="80"/>
    <n v="0.30769230769230771"/>
    <n v="2025"/>
    <x v="11"/>
  </r>
  <r>
    <n v="1051"/>
    <x v="209"/>
    <x v="10"/>
    <x v="5"/>
    <s v="GSK"/>
    <s v="Tablet"/>
    <s v="500 mg"/>
    <n v="4"/>
    <n v="22"/>
    <n v="32"/>
    <n v="10"/>
    <n v="12"/>
    <x v="0"/>
    <s v="Female"/>
    <n v="32"/>
    <s v="Tumakuru"/>
    <x v="2"/>
    <x v="2"/>
    <s v="B5180"/>
    <d v="2026-10-27T00:00:00"/>
    <n v="128"/>
    <n v="88"/>
    <n v="40"/>
    <n v="0.3125"/>
    <n v="2025"/>
    <x v="10"/>
  </r>
  <r>
    <n v="1054"/>
    <x v="210"/>
    <x v="2"/>
    <x v="2"/>
    <s v="Merck"/>
    <s v="Capsule"/>
    <s v="400 mg"/>
    <n v="4"/>
    <n v="25"/>
    <n v="38"/>
    <n v="10"/>
    <n v="12"/>
    <x v="2"/>
    <s v="Male"/>
    <n v="29"/>
    <s v="Tumakuru"/>
    <x v="4"/>
    <x v="4"/>
    <s v="B8428"/>
    <d v="2027-01-11T00:00:00"/>
    <n v="152"/>
    <n v="100"/>
    <n v="52"/>
    <n v="0.34210526315789475"/>
    <n v="2025"/>
    <x v="8"/>
  </r>
  <r>
    <n v="1066"/>
    <x v="211"/>
    <x v="11"/>
    <x v="8"/>
    <s v="Sun Pharma"/>
    <s v="Tablet"/>
    <s v="NA"/>
    <n v="4"/>
    <n v="95"/>
    <n v="125"/>
    <n v="5"/>
    <n v="12"/>
    <x v="2"/>
    <s v="Male"/>
    <n v="51"/>
    <s v="Tumakuru"/>
    <x v="4"/>
    <x v="4"/>
    <s v="B2345"/>
    <d v="2026-03-13T00:00:00"/>
    <n v="500"/>
    <n v="380"/>
    <n v="120"/>
    <n v="0.24"/>
    <n v="2025"/>
    <x v="3"/>
  </r>
  <r>
    <n v="1067"/>
    <x v="212"/>
    <x v="13"/>
    <x v="2"/>
    <s v="Pfizer"/>
    <s v="Capsule"/>
    <s v="NA"/>
    <n v="4"/>
    <n v="35"/>
    <n v="50"/>
    <n v="10"/>
    <n v="12"/>
    <x v="0"/>
    <s v="Male"/>
    <n v="40"/>
    <s v="Bengaluru"/>
    <x v="1"/>
    <x v="4"/>
    <s v="B7129"/>
    <d v="2028-05-06T00:00:00"/>
    <n v="200"/>
    <n v="140"/>
    <n v="60"/>
    <n v="0.3"/>
    <n v="2025"/>
    <x v="5"/>
  </r>
  <r>
    <n v="1073"/>
    <x v="138"/>
    <x v="1"/>
    <x v="1"/>
    <s v="Glenmark"/>
    <s v="Tablet"/>
    <s v="40 mg"/>
    <n v="4"/>
    <n v="75"/>
    <n v="100"/>
    <n v="0"/>
    <n v="12"/>
    <x v="1"/>
    <s v="Male"/>
    <n v="39"/>
    <s v="Tumakuru"/>
    <x v="1"/>
    <x v="1"/>
    <s v="B9913"/>
    <d v="2027-01-31T00:00:00"/>
    <n v="400"/>
    <n v="300"/>
    <n v="100"/>
    <n v="0.25"/>
    <n v="2025"/>
    <x v="2"/>
  </r>
  <r>
    <n v="1083"/>
    <x v="52"/>
    <x v="9"/>
    <x v="7"/>
    <s v="Sun Pharma"/>
    <s v="Tablet"/>
    <s v="40 mg"/>
    <n v="4"/>
    <n v="60"/>
    <n v="85"/>
    <n v="0"/>
    <n v="12"/>
    <x v="2"/>
    <s v="Male"/>
    <n v="59"/>
    <s v="Bengaluru"/>
    <x v="1"/>
    <x v="4"/>
    <s v="B1814"/>
    <d v="2027-04-26T00:00:00"/>
    <n v="340"/>
    <n v="240"/>
    <n v="100"/>
    <n v="0.29411764705882354"/>
    <n v="2025"/>
    <x v="8"/>
  </r>
  <r>
    <n v="1084"/>
    <x v="19"/>
    <x v="7"/>
    <x v="5"/>
    <s v="Micro Labs"/>
    <s v="Tablet"/>
    <s v="650 mg"/>
    <n v="4"/>
    <n v="25"/>
    <n v="35"/>
    <n v="5"/>
    <n v="12"/>
    <x v="1"/>
    <s v="Female"/>
    <n v="50"/>
    <s v="Mysuru"/>
    <x v="3"/>
    <x v="3"/>
    <s v="B9280"/>
    <d v="2026-12-21T00:00:00"/>
    <n v="140"/>
    <n v="100"/>
    <n v="40"/>
    <n v="0.2857142857142857"/>
    <n v="2025"/>
    <x v="1"/>
  </r>
  <r>
    <n v="1085"/>
    <x v="213"/>
    <x v="9"/>
    <x v="7"/>
    <s v="Sun Pharma"/>
    <s v="Tablet"/>
    <s v="40 mg"/>
    <n v="4"/>
    <n v="60"/>
    <n v="85"/>
    <n v="0"/>
    <n v="12"/>
    <x v="2"/>
    <s v="Female"/>
    <n v="23"/>
    <s v="Hubballi"/>
    <x v="2"/>
    <x v="1"/>
    <s v="B8695"/>
    <d v="2026-03-13T00:00:00"/>
    <n v="340"/>
    <n v="240"/>
    <n v="100"/>
    <n v="0.29411764705882354"/>
    <n v="2025"/>
    <x v="7"/>
  </r>
  <r>
    <n v="1089"/>
    <x v="65"/>
    <x v="10"/>
    <x v="5"/>
    <s v="GSK"/>
    <s v="Tablet"/>
    <s v="500 mg"/>
    <n v="4"/>
    <n v="22"/>
    <n v="32"/>
    <n v="10"/>
    <n v="12"/>
    <x v="2"/>
    <s v="Female"/>
    <n v="40"/>
    <s v="Tumakuru"/>
    <x v="1"/>
    <x v="4"/>
    <s v="B8889"/>
    <d v="2026-08-06T00:00:00"/>
    <n v="128"/>
    <n v="88"/>
    <n v="40"/>
    <n v="0.3125"/>
    <n v="2025"/>
    <x v="2"/>
  </r>
  <r>
    <n v="1090"/>
    <x v="214"/>
    <x v="9"/>
    <x v="7"/>
    <s v="Sun Pharma"/>
    <s v="Tablet"/>
    <s v="40 mg"/>
    <n v="4"/>
    <n v="60"/>
    <n v="85"/>
    <n v="5"/>
    <n v="12"/>
    <x v="1"/>
    <s v="Female"/>
    <n v="51"/>
    <s v="Hubballi"/>
    <x v="3"/>
    <x v="3"/>
    <s v="B4196"/>
    <d v="2027-06-11T00:00:00"/>
    <n v="340"/>
    <n v="240"/>
    <n v="100"/>
    <n v="0.29411764705882354"/>
    <n v="2025"/>
    <x v="9"/>
  </r>
  <r>
    <n v="1091"/>
    <x v="215"/>
    <x v="13"/>
    <x v="2"/>
    <s v="Pfizer"/>
    <s v="Capsule"/>
    <s v="NA"/>
    <n v="4"/>
    <n v="35"/>
    <n v="50"/>
    <n v="0"/>
    <n v="12"/>
    <x v="1"/>
    <s v="Male"/>
    <n v="74"/>
    <s v="Mysuru"/>
    <x v="0"/>
    <x v="3"/>
    <s v="B2732"/>
    <d v="2027-08-30T00:00:00"/>
    <n v="200"/>
    <n v="140"/>
    <n v="60"/>
    <n v="0.3"/>
    <n v="2025"/>
    <x v="11"/>
  </r>
  <r>
    <n v="1093"/>
    <x v="216"/>
    <x v="11"/>
    <x v="8"/>
    <s v="Sun Pharma"/>
    <s v="Tablet"/>
    <s v="NA"/>
    <n v="4"/>
    <n v="95"/>
    <n v="125"/>
    <n v="5"/>
    <n v="12"/>
    <x v="2"/>
    <s v="Male"/>
    <n v="67"/>
    <s v="Hubballi"/>
    <x v="4"/>
    <x v="4"/>
    <s v="B1121"/>
    <d v="2027-09-22T00:00:00"/>
    <n v="500"/>
    <n v="380"/>
    <n v="120"/>
    <n v="0.24"/>
    <n v="2025"/>
    <x v="4"/>
  </r>
  <r>
    <n v="1096"/>
    <x v="217"/>
    <x v="3"/>
    <x v="2"/>
    <s v="Abbott"/>
    <s v="Tablet"/>
    <s v="500 mg"/>
    <n v="4"/>
    <n v="18"/>
    <n v="28"/>
    <n v="0"/>
    <n v="12"/>
    <x v="1"/>
    <s v="Female"/>
    <n v="44"/>
    <s v="Mysuru"/>
    <x v="0"/>
    <x v="1"/>
    <s v="B3784"/>
    <d v="2026-01-20T00:00:00"/>
    <n v="112"/>
    <n v="72"/>
    <n v="40"/>
    <n v="0.35714285714285715"/>
    <n v="2025"/>
    <x v="6"/>
  </r>
  <r>
    <n v="1104"/>
    <x v="161"/>
    <x v="6"/>
    <x v="4"/>
    <s v="Torrent"/>
    <s v="Tablet"/>
    <s v="500 mg"/>
    <n v="4"/>
    <n v="80"/>
    <n v="110"/>
    <n v="5"/>
    <n v="12"/>
    <x v="0"/>
    <s v="Female"/>
    <n v="35"/>
    <s v="Tumakuru"/>
    <x v="4"/>
    <x v="4"/>
    <s v="B6164"/>
    <d v="2026-11-18T00:00:00"/>
    <n v="440"/>
    <n v="320"/>
    <n v="120"/>
    <n v="0.27272727272727271"/>
    <n v="2025"/>
    <x v="7"/>
  </r>
  <r>
    <n v="1108"/>
    <x v="145"/>
    <x v="10"/>
    <x v="5"/>
    <s v="GSK"/>
    <s v="Tablet"/>
    <s v="500 mg"/>
    <n v="4"/>
    <n v="22"/>
    <n v="32"/>
    <n v="5"/>
    <n v="12"/>
    <x v="0"/>
    <s v="Male"/>
    <n v="25"/>
    <s v="Hubballi"/>
    <x v="2"/>
    <x v="1"/>
    <s v="B3079"/>
    <d v="2026-08-19T00:00:00"/>
    <n v="128"/>
    <n v="88"/>
    <n v="40"/>
    <n v="0.3125"/>
    <n v="2025"/>
    <x v="1"/>
  </r>
  <r>
    <n v="1111"/>
    <x v="218"/>
    <x v="7"/>
    <x v="5"/>
    <s v="Micro Labs"/>
    <s v="Tablet"/>
    <s v="650 mg"/>
    <n v="4"/>
    <n v="25"/>
    <n v="35"/>
    <n v="10"/>
    <n v="12"/>
    <x v="2"/>
    <s v="Male"/>
    <n v="74"/>
    <s v="Tumakuru"/>
    <x v="3"/>
    <x v="1"/>
    <s v="B7631"/>
    <d v="2028-02-20T00:00:00"/>
    <n v="140"/>
    <n v="100"/>
    <n v="40"/>
    <n v="0.2857142857142857"/>
    <n v="2025"/>
    <x v="10"/>
  </r>
  <r>
    <n v="1117"/>
    <x v="219"/>
    <x v="1"/>
    <x v="1"/>
    <s v="Glenmark"/>
    <s v="Tablet"/>
    <s v="40 mg"/>
    <n v="4"/>
    <n v="75"/>
    <n v="100"/>
    <n v="0"/>
    <n v="12"/>
    <x v="0"/>
    <s v="Male"/>
    <n v="61"/>
    <s v="Tumakuru"/>
    <x v="0"/>
    <x v="2"/>
    <s v="B5403"/>
    <d v="2028-03-03T00:00:00"/>
    <n v="400"/>
    <n v="300"/>
    <n v="100"/>
    <n v="0.25"/>
    <n v="2025"/>
    <x v="5"/>
  </r>
  <r>
    <n v="1131"/>
    <x v="178"/>
    <x v="5"/>
    <x v="3"/>
    <s v="USV"/>
    <s v="Tablet"/>
    <s v="75 mg"/>
    <n v="4"/>
    <n v="12"/>
    <n v="20"/>
    <n v="5"/>
    <n v="12"/>
    <x v="1"/>
    <s v="Male"/>
    <n v="23"/>
    <s v="Bengaluru"/>
    <x v="4"/>
    <x v="1"/>
    <s v="B3979"/>
    <d v="2026-03-24T00:00:00"/>
    <n v="80"/>
    <n v="48"/>
    <n v="32"/>
    <n v="0.4"/>
    <n v="2025"/>
    <x v="8"/>
  </r>
  <r>
    <n v="1132"/>
    <x v="56"/>
    <x v="9"/>
    <x v="7"/>
    <s v="Sun Pharma"/>
    <s v="Tablet"/>
    <s v="40 mg"/>
    <n v="4"/>
    <n v="60"/>
    <n v="85"/>
    <n v="5"/>
    <n v="12"/>
    <x v="1"/>
    <s v="Female"/>
    <n v="74"/>
    <s v="Mysuru"/>
    <x v="0"/>
    <x v="0"/>
    <s v="B7961"/>
    <d v="2027-11-16T00:00:00"/>
    <n v="340"/>
    <n v="240"/>
    <n v="100"/>
    <n v="0.29411764705882354"/>
    <n v="2025"/>
    <x v="10"/>
  </r>
  <r>
    <n v="1136"/>
    <x v="168"/>
    <x v="1"/>
    <x v="1"/>
    <s v="Glenmark"/>
    <s v="Tablet"/>
    <s v="40 mg"/>
    <n v="4"/>
    <n v="75"/>
    <n v="100"/>
    <n v="5"/>
    <n v="12"/>
    <x v="2"/>
    <s v="Female"/>
    <n v="51"/>
    <s v="Tumakuru"/>
    <x v="1"/>
    <x v="4"/>
    <s v="B2294"/>
    <d v="2026-12-03T00:00:00"/>
    <n v="400"/>
    <n v="300"/>
    <n v="100"/>
    <n v="0.25"/>
    <n v="2025"/>
    <x v="1"/>
  </r>
  <r>
    <n v="1137"/>
    <x v="220"/>
    <x v="11"/>
    <x v="8"/>
    <s v="Sun Pharma"/>
    <s v="Tablet"/>
    <s v="NA"/>
    <n v="4"/>
    <n v="95"/>
    <n v="125"/>
    <n v="10"/>
    <n v="12"/>
    <x v="2"/>
    <s v="Male"/>
    <n v="31"/>
    <s v="Mysuru"/>
    <x v="3"/>
    <x v="3"/>
    <s v="B4290"/>
    <d v="2026-06-04T00:00:00"/>
    <n v="500"/>
    <n v="380"/>
    <n v="120"/>
    <n v="0.24"/>
    <n v="2025"/>
    <x v="10"/>
  </r>
  <r>
    <n v="1138"/>
    <x v="62"/>
    <x v="3"/>
    <x v="2"/>
    <s v="Abbott"/>
    <s v="Tablet"/>
    <s v="500 mg"/>
    <n v="4"/>
    <n v="18"/>
    <n v="28"/>
    <n v="0"/>
    <n v="12"/>
    <x v="2"/>
    <s v="Male"/>
    <n v="32"/>
    <s v="Bengaluru"/>
    <x v="2"/>
    <x v="3"/>
    <s v="B3024"/>
    <d v="2026-07-22T00:00:00"/>
    <n v="112"/>
    <n v="72"/>
    <n v="40"/>
    <n v="0.35714285714285715"/>
    <n v="2025"/>
    <x v="10"/>
  </r>
  <r>
    <n v="1140"/>
    <x v="221"/>
    <x v="6"/>
    <x v="4"/>
    <s v="Torrent"/>
    <s v="Tablet"/>
    <s v="500 mg"/>
    <n v="4"/>
    <n v="80"/>
    <n v="110"/>
    <n v="10"/>
    <n v="12"/>
    <x v="2"/>
    <s v="Male"/>
    <n v="25"/>
    <s v="Bengaluru"/>
    <x v="4"/>
    <x v="1"/>
    <s v="B6750"/>
    <d v="2027-08-14T00:00:00"/>
    <n v="440"/>
    <n v="320"/>
    <n v="120"/>
    <n v="0.27272727272727271"/>
    <n v="2025"/>
    <x v="3"/>
  </r>
  <r>
    <n v="1146"/>
    <x v="1"/>
    <x v="6"/>
    <x v="4"/>
    <s v="Torrent"/>
    <s v="Tablet"/>
    <s v="500 mg"/>
    <n v="4"/>
    <n v="80"/>
    <n v="110"/>
    <n v="10"/>
    <n v="12"/>
    <x v="2"/>
    <s v="Female"/>
    <n v="57"/>
    <s v="Mysuru"/>
    <x v="4"/>
    <x v="2"/>
    <s v="B7959"/>
    <d v="2027-09-02T00:00:00"/>
    <n v="440"/>
    <n v="320"/>
    <n v="120"/>
    <n v="0.27272727272727271"/>
    <n v="2025"/>
    <x v="1"/>
  </r>
  <r>
    <n v="1149"/>
    <x v="222"/>
    <x v="4"/>
    <x v="0"/>
    <s v="Cipla"/>
    <s v="Tablet"/>
    <s v="500 mg"/>
    <n v="4"/>
    <n v="90"/>
    <n v="120"/>
    <n v="5"/>
    <n v="12"/>
    <x v="2"/>
    <s v="Male"/>
    <n v="37"/>
    <s v="Tumakuru"/>
    <x v="0"/>
    <x v="0"/>
    <s v="B6667"/>
    <d v="2026-05-23T00:00:00"/>
    <n v="480"/>
    <n v="360"/>
    <n v="120"/>
    <n v="0.25"/>
    <n v="2025"/>
    <x v="10"/>
  </r>
  <r>
    <n v="1155"/>
    <x v="117"/>
    <x v="0"/>
    <x v="0"/>
    <s v="GSK"/>
    <s v="Tablet"/>
    <s v="625 mg"/>
    <n v="4"/>
    <n v="140"/>
    <n v="180"/>
    <n v="10"/>
    <n v="12"/>
    <x v="2"/>
    <s v="Male"/>
    <n v="28"/>
    <s v="Mysuru"/>
    <x v="0"/>
    <x v="2"/>
    <s v="B1660"/>
    <d v="2027-03-06T00:00:00"/>
    <n v="720"/>
    <n v="560"/>
    <n v="160"/>
    <n v="0.22222222222222221"/>
    <n v="2025"/>
    <x v="6"/>
  </r>
  <r>
    <n v="1175"/>
    <x v="223"/>
    <x v="5"/>
    <x v="3"/>
    <s v="USV"/>
    <s v="Tablet"/>
    <s v="75 mg"/>
    <n v="4"/>
    <n v="12"/>
    <n v="20"/>
    <n v="10"/>
    <n v="12"/>
    <x v="0"/>
    <s v="Male"/>
    <n v="26"/>
    <s v="Hubballi"/>
    <x v="0"/>
    <x v="1"/>
    <s v="B8066"/>
    <d v="2027-02-05T00:00:00"/>
    <n v="80"/>
    <n v="48"/>
    <n v="32"/>
    <n v="0.4"/>
    <n v="2025"/>
    <x v="9"/>
  </r>
  <r>
    <n v="1180"/>
    <x v="196"/>
    <x v="0"/>
    <x v="0"/>
    <s v="GSK"/>
    <s v="Tablet"/>
    <s v="625 mg"/>
    <n v="4"/>
    <n v="140"/>
    <n v="180"/>
    <n v="5"/>
    <n v="12"/>
    <x v="0"/>
    <s v="Male"/>
    <n v="53"/>
    <s v="Tumakuru"/>
    <x v="1"/>
    <x v="4"/>
    <s v="B8025"/>
    <d v="2027-01-19T00:00:00"/>
    <n v="720"/>
    <n v="560"/>
    <n v="160"/>
    <n v="0.22222222222222221"/>
    <n v="2025"/>
    <x v="7"/>
  </r>
  <r>
    <n v="1184"/>
    <x v="224"/>
    <x v="11"/>
    <x v="8"/>
    <s v="Sun Pharma"/>
    <s v="Tablet"/>
    <s v="NA"/>
    <n v="4"/>
    <n v="95"/>
    <n v="125"/>
    <n v="10"/>
    <n v="12"/>
    <x v="2"/>
    <s v="Female"/>
    <n v="26"/>
    <s v="Hubballi"/>
    <x v="4"/>
    <x v="1"/>
    <s v="B1737"/>
    <d v="2026-08-04T00:00:00"/>
    <n v="500"/>
    <n v="380"/>
    <n v="120"/>
    <n v="0.24"/>
    <n v="2025"/>
    <x v="5"/>
  </r>
  <r>
    <n v="1186"/>
    <x v="147"/>
    <x v="7"/>
    <x v="5"/>
    <s v="Micro Labs"/>
    <s v="Tablet"/>
    <s v="650 mg"/>
    <n v="4"/>
    <n v="25"/>
    <n v="35"/>
    <n v="0"/>
    <n v="12"/>
    <x v="0"/>
    <s v="Male"/>
    <n v="53"/>
    <s v="Tumakuru"/>
    <x v="4"/>
    <x v="4"/>
    <s v="B2810"/>
    <d v="2026-11-16T00:00:00"/>
    <n v="140"/>
    <n v="100"/>
    <n v="40"/>
    <n v="0.2857142857142857"/>
    <n v="2025"/>
    <x v="11"/>
  </r>
  <r>
    <n v="1189"/>
    <x v="225"/>
    <x v="2"/>
    <x v="2"/>
    <s v="Merck"/>
    <s v="Capsule"/>
    <s v="400 mg"/>
    <n v="4"/>
    <n v="25"/>
    <n v="38"/>
    <n v="5"/>
    <n v="12"/>
    <x v="0"/>
    <s v="Male"/>
    <n v="50"/>
    <s v="Hubballi"/>
    <x v="4"/>
    <x v="4"/>
    <s v="B6143"/>
    <d v="2027-03-03T00:00:00"/>
    <n v="152"/>
    <n v="100"/>
    <n v="52"/>
    <n v="0.34210526315789475"/>
    <n v="2025"/>
    <x v="3"/>
  </r>
  <r>
    <n v="1191"/>
    <x v="126"/>
    <x v="2"/>
    <x v="2"/>
    <s v="Merck"/>
    <s v="Capsule"/>
    <s v="400 mg"/>
    <n v="4"/>
    <n v="25"/>
    <n v="38"/>
    <n v="0"/>
    <n v="12"/>
    <x v="2"/>
    <s v="Female"/>
    <n v="33"/>
    <s v="Hubballi"/>
    <x v="2"/>
    <x v="2"/>
    <s v="B1290"/>
    <d v="2027-04-26T00:00:00"/>
    <n v="152"/>
    <n v="100"/>
    <n v="52"/>
    <n v="0.34210526315789475"/>
    <n v="2025"/>
    <x v="0"/>
  </r>
  <r>
    <n v="1193"/>
    <x v="62"/>
    <x v="12"/>
    <x v="7"/>
    <s v="Alkem"/>
    <s v="Capsule"/>
    <s v="40 mg"/>
    <n v="4"/>
    <n v="70"/>
    <n v="95"/>
    <n v="0"/>
    <n v="12"/>
    <x v="1"/>
    <s v="Female"/>
    <n v="25"/>
    <s v="Hubballi"/>
    <x v="4"/>
    <x v="3"/>
    <s v="B1879"/>
    <d v="2028-01-12T00:00:00"/>
    <n v="380"/>
    <n v="280"/>
    <n v="100"/>
    <n v="0.26315789473684209"/>
    <n v="2025"/>
    <x v="10"/>
  </r>
  <r>
    <n v="1195"/>
    <x v="226"/>
    <x v="3"/>
    <x v="2"/>
    <s v="Abbott"/>
    <s v="Tablet"/>
    <s v="500 mg"/>
    <n v="4"/>
    <n v="18"/>
    <n v="28"/>
    <n v="5"/>
    <n v="12"/>
    <x v="2"/>
    <s v="Male"/>
    <n v="23"/>
    <s v="Mysuru"/>
    <x v="0"/>
    <x v="4"/>
    <s v="B4562"/>
    <d v="2027-01-04T00:00:00"/>
    <n v="112"/>
    <n v="72"/>
    <n v="40"/>
    <n v="0.35714285714285715"/>
    <n v="2025"/>
    <x v="7"/>
  </r>
  <r>
    <n v="1206"/>
    <x v="227"/>
    <x v="13"/>
    <x v="2"/>
    <s v="Pfizer"/>
    <s v="Capsule"/>
    <s v="NA"/>
    <n v="4"/>
    <n v="35"/>
    <n v="50"/>
    <n v="0"/>
    <n v="12"/>
    <x v="2"/>
    <s v="Male"/>
    <n v="30"/>
    <s v="Bengaluru"/>
    <x v="2"/>
    <x v="0"/>
    <s v="B6067"/>
    <d v="2027-05-08T00:00:00"/>
    <n v="200"/>
    <n v="140"/>
    <n v="60"/>
    <n v="0.3"/>
    <n v="2025"/>
    <x v="6"/>
  </r>
  <r>
    <n v="1209"/>
    <x v="35"/>
    <x v="2"/>
    <x v="2"/>
    <s v="Merck"/>
    <s v="Capsule"/>
    <s v="400 mg"/>
    <n v="4"/>
    <n v="25"/>
    <n v="38"/>
    <n v="0"/>
    <n v="12"/>
    <x v="0"/>
    <s v="Female"/>
    <n v="29"/>
    <s v="Hubballi"/>
    <x v="0"/>
    <x v="1"/>
    <s v="B9711"/>
    <d v="2026-10-08T00:00:00"/>
    <n v="152"/>
    <n v="100"/>
    <n v="52"/>
    <n v="0.34210526315789475"/>
    <n v="2025"/>
    <x v="9"/>
  </r>
  <r>
    <n v="1212"/>
    <x v="228"/>
    <x v="4"/>
    <x v="0"/>
    <s v="Cipla"/>
    <s v="Tablet"/>
    <s v="500 mg"/>
    <n v="4"/>
    <n v="90"/>
    <n v="120"/>
    <n v="0"/>
    <n v="12"/>
    <x v="1"/>
    <s v="Female"/>
    <n v="41"/>
    <s v="Hubballi"/>
    <x v="1"/>
    <x v="3"/>
    <s v="B1775"/>
    <d v="2027-01-13T00:00:00"/>
    <n v="480"/>
    <n v="360"/>
    <n v="120"/>
    <n v="0.25"/>
    <n v="2025"/>
    <x v="7"/>
  </r>
  <r>
    <n v="1213"/>
    <x v="226"/>
    <x v="5"/>
    <x v="3"/>
    <s v="USV"/>
    <s v="Tablet"/>
    <s v="75 mg"/>
    <n v="4"/>
    <n v="12"/>
    <n v="20"/>
    <n v="10"/>
    <n v="12"/>
    <x v="2"/>
    <s v="Male"/>
    <n v="66"/>
    <s v="Bengaluru"/>
    <x v="4"/>
    <x v="0"/>
    <s v="B3777"/>
    <d v="2026-01-07T00:00:00"/>
    <n v="80"/>
    <n v="48"/>
    <n v="32"/>
    <n v="0.4"/>
    <n v="2025"/>
    <x v="7"/>
  </r>
  <r>
    <n v="1222"/>
    <x v="139"/>
    <x v="8"/>
    <x v="6"/>
    <s v="USV"/>
    <s v="Tablet"/>
    <s v="500 mg"/>
    <n v="4"/>
    <n v="45"/>
    <n v="65"/>
    <n v="5"/>
    <n v="12"/>
    <x v="0"/>
    <s v="Male"/>
    <n v="26"/>
    <s v="Mysuru"/>
    <x v="0"/>
    <x v="1"/>
    <s v="B7017"/>
    <d v="2028-04-16T00:00:00"/>
    <n v="260"/>
    <n v="180"/>
    <n v="80"/>
    <n v="0.30769230769230771"/>
    <n v="2025"/>
    <x v="5"/>
  </r>
  <r>
    <n v="1231"/>
    <x v="229"/>
    <x v="10"/>
    <x v="5"/>
    <s v="GSK"/>
    <s v="Tablet"/>
    <s v="500 mg"/>
    <n v="4"/>
    <n v="22"/>
    <n v="32"/>
    <n v="5"/>
    <n v="12"/>
    <x v="1"/>
    <s v="Male"/>
    <n v="46"/>
    <s v="Mysuru"/>
    <x v="2"/>
    <x v="1"/>
    <s v="B3860"/>
    <d v="2026-03-04T00:00:00"/>
    <n v="128"/>
    <n v="88"/>
    <n v="40"/>
    <n v="0.3125"/>
    <n v="2025"/>
    <x v="8"/>
  </r>
  <r>
    <n v="1241"/>
    <x v="60"/>
    <x v="1"/>
    <x v="1"/>
    <s v="Glenmark"/>
    <s v="Tablet"/>
    <s v="40 mg"/>
    <n v="4"/>
    <n v="75"/>
    <n v="100"/>
    <n v="10"/>
    <n v="12"/>
    <x v="1"/>
    <s v="Female"/>
    <n v="36"/>
    <s v="Tumakuru"/>
    <x v="3"/>
    <x v="3"/>
    <s v="B8931"/>
    <d v="2027-01-30T00:00:00"/>
    <n v="400"/>
    <n v="300"/>
    <n v="100"/>
    <n v="0.25"/>
    <n v="2025"/>
    <x v="9"/>
  </r>
  <r>
    <n v="1243"/>
    <x v="230"/>
    <x v="8"/>
    <x v="6"/>
    <s v="USV"/>
    <s v="Tablet"/>
    <s v="500 mg"/>
    <n v="4"/>
    <n v="45"/>
    <n v="65"/>
    <n v="0"/>
    <n v="12"/>
    <x v="1"/>
    <s v="Female"/>
    <n v="59"/>
    <s v="Tumakuru"/>
    <x v="3"/>
    <x v="2"/>
    <s v="B5837"/>
    <d v="2027-02-17T00:00:00"/>
    <n v="260"/>
    <n v="180"/>
    <n v="80"/>
    <n v="0.30769230769230771"/>
    <n v="2025"/>
    <x v="4"/>
  </r>
  <r>
    <n v="1254"/>
    <x v="231"/>
    <x v="3"/>
    <x v="2"/>
    <s v="Abbott"/>
    <s v="Tablet"/>
    <s v="500 mg"/>
    <n v="4"/>
    <n v="18"/>
    <n v="28"/>
    <n v="0"/>
    <n v="12"/>
    <x v="1"/>
    <s v="Male"/>
    <n v="57"/>
    <s v="Hubballi"/>
    <x v="3"/>
    <x v="3"/>
    <s v="B1039"/>
    <d v="2026-06-20T00:00:00"/>
    <n v="112"/>
    <n v="72"/>
    <n v="40"/>
    <n v="0.35714285714285715"/>
    <n v="2025"/>
    <x v="4"/>
  </r>
  <r>
    <n v="1265"/>
    <x v="14"/>
    <x v="8"/>
    <x v="6"/>
    <s v="USV"/>
    <s v="Tablet"/>
    <s v="500 mg"/>
    <n v="4"/>
    <n v="45"/>
    <n v="65"/>
    <n v="0"/>
    <n v="12"/>
    <x v="2"/>
    <s v="Female"/>
    <n v="41"/>
    <s v="Hubballi"/>
    <x v="2"/>
    <x v="2"/>
    <s v="B7996"/>
    <d v="2027-01-12T00:00:00"/>
    <n v="260"/>
    <n v="180"/>
    <n v="80"/>
    <n v="0.30769230769230771"/>
    <n v="2025"/>
    <x v="7"/>
  </r>
  <r>
    <n v="1266"/>
    <x v="48"/>
    <x v="2"/>
    <x v="2"/>
    <s v="Merck"/>
    <s v="Capsule"/>
    <s v="400 mg"/>
    <n v="4"/>
    <n v="25"/>
    <n v="38"/>
    <n v="10"/>
    <n v="12"/>
    <x v="1"/>
    <s v="Female"/>
    <n v="49"/>
    <s v="Mysuru"/>
    <x v="0"/>
    <x v="2"/>
    <s v="B9172"/>
    <d v="2027-07-19T00:00:00"/>
    <n v="152"/>
    <n v="100"/>
    <n v="52"/>
    <n v="0.34210526315789475"/>
    <n v="2025"/>
    <x v="5"/>
  </r>
  <r>
    <n v="1270"/>
    <x v="232"/>
    <x v="7"/>
    <x v="5"/>
    <s v="Micro Labs"/>
    <s v="Tablet"/>
    <s v="650 mg"/>
    <n v="4"/>
    <n v="25"/>
    <n v="35"/>
    <n v="0"/>
    <n v="12"/>
    <x v="2"/>
    <s v="Female"/>
    <n v="71"/>
    <s v="Tumakuru"/>
    <x v="4"/>
    <x v="4"/>
    <s v="B1913"/>
    <d v="2027-08-07T00:00:00"/>
    <n v="140"/>
    <n v="100"/>
    <n v="40"/>
    <n v="0.2857142857142857"/>
    <n v="2025"/>
    <x v="1"/>
  </r>
  <r>
    <n v="1279"/>
    <x v="109"/>
    <x v="6"/>
    <x v="4"/>
    <s v="Torrent"/>
    <s v="Tablet"/>
    <s v="500 mg"/>
    <n v="4"/>
    <n v="80"/>
    <n v="110"/>
    <n v="10"/>
    <n v="12"/>
    <x v="1"/>
    <s v="Male"/>
    <n v="73"/>
    <s v="Bengaluru"/>
    <x v="4"/>
    <x v="4"/>
    <s v="B7591"/>
    <d v="2026-07-30T00:00:00"/>
    <n v="440"/>
    <n v="320"/>
    <n v="120"/>
    <n v="0.27272727272727271"/>
    <n v="2025"/>
    <x v="10"/>
  </r>
  <r>
    <n v="1280"/>
    <x v="177"/>
    <x v="0"/>
    <x v="0"/>
    <s v="GSK"/>
    <s v="Tablet"/>
    <s v="625 mg"/>
    <n v="4"/>
    <n v="140"/>
    <n v="180"/>
    <n v="10"/>
    <n v="12"/>
    <x v="1"/>
    <s v="Female"/>
    <n v="56"/>
    <s v="Bengaluru"/>
    <x v="0"/>
    <x v="0"/>
    <s v="B5447"/>
    <d v="2028-05-13T00:00:00"/>
    <n v="720"/>
    <n v="560"/>
    <n v="160"/>
    <n v="0.22222222222222221"/>
    <n v="2025"/>
    <x v="5"/>
  </r>
  <r>
    <n v="1286"/>
    <x v="216"/>
    <x v="10"/>
    <x v="5"/>
    <s v="GSK"/>
    <s v="Tablet"/>
    <s v="500 mg"/>
    <n v="4"/>
    <n v="22"/>
    <n v="32"/>
    <n v="0"/>
    <n v="12"/>
    <x v="0"/>
    <s v="Male"/>
    <n v="51"/>
    <s v="Hubballi"/>
    <x v="3"/>
    <x v="3"/>
    <s v="B7000"/>
    <d v="2027-12-29T00:00:00"/>
    <n v="128"/>
    <n v="88"/>
    <n v="40"/>
    <n v="0.3125"/>
    <n v="2025"/>
    <x v="4"/>
  </r>
  <r>
    <n v="1290"/>
    <x v="141"/>
    <x v="7"/>
    <x v="5"/>
    <s v="Micro Labs"/>
    <s v="Tablet"/>
    <s v="650 mg"/>
    <n v="4"/>
    <n v="25"/>
    <n v="35"/>
    <n v="5"/>
    <n v="12"/>
    <x v="1"/>
    <s v="Female"/>
    <n v="36"/>
    <s v="Bengaluru"/>
    <x v="3"/>
    <x v="0"/>
    <s v="B9522"/>
    <d v="2027-01-20T00:00:00"/>
    <n v="140"/>
    <n v="100"/>
    <n v="40"/>
    <n v="0.2857142857142857"/>
    <n v="2025"/>
    <x v="11"/>
  </r>
  <r>
    <n v="1291"/>
    <x v="142"/>
    <x v="12"/>
    <x v="7"/>
    <s v="Alkem"/>
    <s v="Capsule"/>
    <s v="40 mg"/>
    <n v="4"/>
    <n v="70"/>
    <n v="95"/>
    <n v="5"/>
    <n v="12"/>
    <x v="1"/>
    <s v="Female"/>
    <n v="21"/>
    <s v="Mysuru"/>
    <x v="0"/>
    <x v="0"/>
    <s v="B8583"/>
    <d v="2025-10-03T00:00:00"/>
    <n v="380"/>
    <n v="280"/>
    <n v="100"/>
    <n v="0.26315789473684209"/>
    <n v="2025"/>
    <x v="8"/>
  </r>
  <r>
    <n v="1292"/>
    <x v="148"/>
    <x v="2"/>
    <x v="2"/>
    <s v="Merck"/>
    <s v="Capsule"/>
    <s v="400 mg"/>
    <n v="4"/>
    <n v="25"/>
    <n v="38"/>
    <n v="0"/>
    <n v="12"/>
    <x v="1"/>
    <s v="Male"/>
    <n v="44"/>
    <s v="Mysuru"/>
    <x v="0"/>
    <x v="4"/>
    <s v="B1568"/>
    <d v="2026-03-25T00:00:00"/>
    <n v="152"/>
    <n v="100"/>
    <n v="52"/>
    <n v="0.34210526315789475"/>
    <n v="2025"/>
    <x v="2"/>
  </r>
  <r>
    <n v="1296"/>
    <x v="233"/>
    <x v="11"/>
    <x v="8"/>
    <s v="Sun Pharma"/>
    <s v="Tablet"/>
    <s v="NA"/>
    <n v="4"/>
    <n v="95"/>
    <n v="125"/>
    <n v="10"/>
    <n v="12"/>
    <x v="2"/>
    <s v="Male"/>
    <n v="27"/>
    <s v="Mysuru"/>
    <x v="4"/>
    <x v="4"/>
    <s v="B2456"/>
    <d v="2026-03-12T00:00:00"/>
    <n v="500"/>
    <n v="380"/>
    <n v="120"/>
    <n v="0.24"/>
    <n v="2025"/>
    <x v="6"/>
  </r>
  <r>
    <n v="1300"/>
    <x v="155"/>
    <x v="9"/>
    <x v="7"/>
    <s v="Sun Pharma"/>
    <s v="Tablet"/>
    <s v="40 mg"/>
    <n v="4"/>
    <n v="60"/>
    <n v="85"/>
    <n v="10"/>
    <n v="12"/>
    <x v="1"/>
    <s v="Female"/>
    <n v="72"/>
    <s v="Tumakuru"/>
    <x v="0"/>
    <x v="0"/>
    <s v="B3060"/>
    <d v="2027-04-01T00:00:00"/>
    <n v="340"/>
    <n v="240"/>
    <n v="100"/>
    <n v="0.29411764705882354"/>
    <n v="2025"/>
    <x v="8"/>
  </r>
  <r>
    <n v="1301"/>
    <x v="26"/>
    <x v="9"/>
    <x v="7"/>
    <s v="Sun Pharma"/>
    <s v="Tablet"/>
    <s v="40 mg"/>
    <n v="4"/>
    <n v="60"/>
    <n v="85"/>
    <n v="5"/>
    <n v="12"/>
    <x v="1"/>
    <s v="Female"/>
    <n v="47"/>
    <s v="Hubballi"/>
    <x v="0"/>
    <x v="3"/>
    <s v="B3082"/>
    <d v="2026-04-11T00:00:00"/>
    <n v="340"/>
    <n v="240"/>
    <n v="100"/>
    <n v="0.29411764705882354"/>
    <n v="2025"/>
    <x v="8"/>
  </r>
  <r>
    <n v="1303"/>
    <x v="62"/>
    <x v="7"/>
    <x v="5"/>
    <s v="Micro Labs"/>
    <s v="Tablet"/>
    <s v="650 mg"/>
    <n v="4"/>
    <n v="25"/>
    <n v="35"/>
    <n v="0"/>
    <n v="12"/>
    <x v="0"/>
    <s v="Female"/>
    <n v="22"/>
    <s v="Mysuru"/>
    <x v="0"/>
    <x v="1"/>
    <s v="B8639"/>
    <d v="2028-03-29T00:00:00"/>
    <n v="140"/>
    <n v="100"/>
    <n v="40"/>
    <n v="0.2857142857142857"/>
    <n v="2025"/>
    <x v="10"/>
  </r>
  <r>
    <n v="1307"/>
    <x v="22"/>
    <x v="14"/>
    <x v="5"/>
    <s v="GSK"/>
    <s v="Tablet"/>
    <s v="650 mg"/>
    <n v="4"/>
    <n v="24"/>
    <n v="34"/>
    <n v="10"/>
    <n v="12"/>
    <x v="1"/>
    <s v="Male"/>
    <n v="40"/>
    <s v="Mysuru"/>
    <x v="2"/>
    <x v="2"/>
    <s v="B7384"/>
    <d v="2027-04-19T00:00:00"/>
    <n v="136"/>
    <n v="96"/>
    <n v="40"/>
    <n v="0.29411764705882354"/>
    <n v="2025"/>
    <x v="10"/>
  </r>
  <r>
    <n v="1315"/>
    <x v="203"/>
    <x v="5"/>
    <x v="3"/>
    <s v="USV"/>
    <s v="Tablet"/>
    <s v="75 mg"/>
    <n v="4"/>
    <n v="12"/>
    <n v="20"/>
    <n v="10"/>
    <n v="12"/>
    <x v="0"/>
    <s v="Female"/>
    <n v="24"/>
    <s v="Hubballi"/>
    <x v="2"/>
    <x v="0"/>
    <s v="B3821"/>
    <d v="2026-08-02T00:00:00"/>
    <n v="80"/>
    <n v="48"/>
    <n v="32"/>
    <n v="0.4"/>
    <n v="2025"/>
    <x v="11"/>
  </r>
  <r>
    <n v="1317"/>
    <x v="58"/>
    <x v="10"/>
    <x v="5"/>
    <s v="GSK"/>
    <s v="Tablet"/>
    <s v="500 mg"/>
    <n v="4"/>
    <n v="22"/>
    <n v="32"/>
    <n v="5"/>
    <n v="12"/>
    <x v="2"/>
    <s v="Female"/>
    <n v="19"/>
    <s v="Tumakuru"/>
    <x v="4"/>
    <x v="0"/>
    <s v="B1265"/>
    <d v="2026-08-27T00:00:00"/>
    <n v="128"/>
    <n v="88"/>
    <n v="40"/>
    <n v="0.3125"/>
    <n v="2025"/>
    <x v="4"/>
  </r>
  <r>
    <n v="1319"/>
    <x v="159"/>
    <x v="6"/>
    <x v="4"/>
    <s v="Torrent"/>
    <s v="Tablet"/>
    <s v="500 mg"/>
    <n v="4"/>
    <n v="80"/>
    <n v="110"/>
    <n v="0"/>
    <n v="12"/>
    <x v="0"/>
    <s v="Male"/>
    <n v="19"/>
    <s v="Hubballi"/>
    <x v="2"/>
    <x v="3"/>
    <s v="B1922"/>
    <d v="2026-10-01T00:00:00"/>
    <n v="440"/>
    <n v="320"/>
    <n v="120"/>
    <n v="0.27272727272727271"/>
    <n v="2025"/>
    <x v="11"/>
  </r>
  <r>
    <n v="1320"/>
    <x v="234"/>
    <x v="1"/>
    <x v="1"/>
    <s v="Glenmark"/>
    <s v="Tablet"/>
    <s v="40 mg"/>
    <n v="4"/>
    <n v="75"/>
    <n v="100"/>
    <n v="5"/>
    <n v="12"/>
    <x v="0"/>
    <s v="Male"/>
    <n v="31"/>
    <s v="Tumakuru"/>
    <x v="2"/>
    <x v="0"/>
    <s v="B4057"/>
    <d v="2026-03-10T00:00:00"/>
    <n v="400"/>
    <n v="300"/>
    <n v="100"/>
    <n v="0.25"/>
    <n v="2025"/>
    <x v="3"/>
  </r>
  <r>
    <n v="1327"/>
    <x v="82"/>
    <x v="8"/>
    <x v="6"/>
    <s v="USV"/>
    <s v="Tablet"/>
    <s v="500 mg"/>
    <n v="4"/>
    <n v="45"/>
    <n v="65"/>
    <n v="0"/>
    <n v="12"/>
    <x v="2"/>
    <s v="Male"/>
    <n v="67"/>
    <s v="Hubballi"/>
    <x v="3"/>
    <x v="3"/>
    <s v="B9878"/>
    <d v="2026-12-27T00:00:00"/>
    <n v="260"/>
    <n v="180"/>
    <n v="80"/>
    <n v="0.30769230769230771"/>
    <n v="2025"/>
    <x v="11"/>
  </r>
  <r>
    <n v="1341"/>
    <x v="107"/>
    <x v="1"/>
    <x v="1"/>
    <s v="Glenmark"/>
    <s v="Tablet"/>
    <s v="40 mg"/>
    <n v="4"/>
    <n v="75"/>
    <n v="100"/>
    <n v="0"/>
    <n v="12"/>
    <x v="1"/>
    <s v="Male"/>
    <n v="32"/>
    <s v="Mysuru"/>
    <x v="0"/>
    <x v="0"/>
    <s v="B8275"/>
    <d v="2026-09-13T00:00:00"/>
    <n v="400"/>
    <n v="300"/>
    <n v="100"/>
    <n v="0.25"/>
    <n v="2025"/>
    <x v="8"/>
  </r>
  <r>
    <n v="1344"/>
    <x v="235"/>
    <x v="7"/>
    <x v="5"/>
    <s v="Micro Labs"/>
    <s v="Tablet"/>
    <s v="650 mg"/>
    <n v="4"/>
    <n v="25"/>
    <n v="35"/>
    <n v="0"/>
    <n v="12"/>
    <x v="1"/>
    <s v="Male"/>
    <n v="44"/>
    <s v="Bengaluru"/>
    <x v="3"/>
    <x v="2"/>
    <s v="B9376"/>
    <d v="2028-01-27T00:00:00"/>
    <n v="140"/>
    <n v="100"/>
    <n v="40"/>
    <n v="0.2857142857142857"/>
    <n v="2025"/>
    <x v="5"/>
  </r>
  <r>
    <n v="1345"/>
    <x v="63"/>
    <x v="5"/>
    <x v="3"/>
    <s v="USV"/>
    <s v="Tablet"/>
    <s v="75 mg"/>
    <n v="4"/>
    <n v="12"/>
    <n v="20"/>
    <n v="10"/>
    <n v="12"/>
    <x v="2"/>
    <s v="Female"/>
    <n v="26"/>
    <s v="Tumakuru"/>
    <x v="3"/>
    <x v="1"/>
    <s v="B5070"/>
    <d v="2027-02-17T00:00:00"/>
    <n v="80"/>
    <n v="48"/>
    <n v="32"/>
    <n v="0.4"/>
    <n v="2025"/>
    <x v="4"/>
  </r>
  <r>
    <n v="1354"/>
    <x v="236"/>
    <x v="9"/>
    <x v="7"/>
    <s v="Sun Pharma"/>
    <s v="Tablet"/>
    <s v="40 mg"/>
    <n v="4"/>
    <n v="60"/>
    <n v="85"/>
    <n v="0"/>
    <n v="12"/>
    <x v="0"/>
    <s v="Female"/>
    <n v="26"/>
    <s v="Hubballi"/>
    <x v="4"/>
    <x v="3"/>
    <s v="B6294"/>
    <d v="2025-10-19T00:00:00"/>
    <n v="340"/>
    <n v="240"/>
    <n v="100"/>
    <n v="0.29411764705882354"/>
    <n v="2025"/>
    <x v="8"/>
  </r>
  <r>
    <n v="1361"/>
    <x v="237"/>
    <x v="0"/>
    <x v="0"/>
    <s v="GSK"/>
    <s v="Tablet"/>
    <s v="625 mg"/>
    <n v="4"/>
    <n v="140"/>
    <n v="180"/>
    <n v="0"/>
    <n v="12"/>
    <x v="1"/>
    <s v="Male"/>
    <n v="62"/>
    <s v="Bengaluru"/>
    <x v="0"/>
    <x v="3"/>
    <s v="B1244"/>
    <d v="2027-08-13T00:00:00"/>
    <n v="720"/>
    <n v="560"/>
    <n v="160"/>
    <n v="0.22222222222222221"/>
    <n v="2025"/>
    <x v="1"/>
  </r>
  <r>
    <n v="1363"/>
    <x v="236"/>
    <x v="0"/>
    <x v="0"/>
    <s v="GSK"/>
    <s v="Tablet"/>
    <s v="625 mg"/>
    <n v="4"/>
    <n v="140"/>
    <n v="180"/>
    <n v="0"/>
    <n v="12"/>
    <x v="0"/>
    <s v="Male"/>
    <n v="44"/>
    <s v="Tumakuru"/>
    <x v="2"/>
    <x v="4"/>
    <s v="B9439"/>
    <d v="2027-08-13T00:00:00"/>
    <n v="720"/>
    <n v="560"/>
    <n v="160"/>
    <n v="0.22222222222222221"/>
    <n v="2025"/>
    <x v="8"/>
  </r>
  <r>
    <n v="1366"/>
    <x v="238"/>
    <x v="4"/>
    <x v="0"/>
    <s v="Cipla"/>
    <s v="Tablet"/>
    <s v="500 mg"/>
    <n v="4"/>
    <n v="90"/>
    <n v="120"/>
    <n v="10"/>
    <n v="12"/>
    <x v="2"/>
    <s v="Female"/>
    <n v="71"/>
    <s v="Bengaluru"/>
    <x v="4"/>
    <x v="3"/>
    <s v="B3227"/>
    <d v="2026-10-01T00:00:00"/>
    <n v="480"/>
    <n v="360"/>
    <n v="120"/>
    <n v="0.25"/>
    <n v="2025"/>
    <x v="5"/>
  </r>
  <r>
    <n v="1387"/>
    <x v="239"/>
    <x v="3"/>
    <x v="2"/>
    <s v="Abbott"/>
    <s v="Tablet"/>
    <s v="500 mg"/>
    <n v="4"/>
    <n v="18"/>
    <n v="28"/>
    <n v="10"/>
    <n v="12"/>
    <x v="0"/>
    <s v="Male"/>
    <n v="58"/>
    <s v="Mysuru"/>
    <x v="4"/>
    <x v="1"/>
    <s v="B1908"/>
    <d v="2026-09-13T00:00:00"/>
    <n v="112"/>
    <n v="72"/>
    <n v="40"/>
    <n v="0.35714285714285715"/>
    <n v="2025"/>
    <x v="11"/>
  </r>
  <r>
    <n v="1396"/>
    <x v="168"/>
    <x v="1"/>
    <x v="1"/>
    <s v="Glenmark"/>
    <s v="Tablet"/>
    <s v="40 mg"/>
    <n v="4"/>
    <n v="75"/>
    <n v="100"/>
    <n v="10"/>
    <n v="12"/>
    <x v="0"/>
    <s v="Female"/>
    <n v="35"/>
    <s v="Mysuru"/>
    <x v="4"/>
    <x v="0"/>
    <s v="B1629"/>
    <d v="2026-03-09T00:00:00"/>
    <n v="400"/>
    <n v="300"/>
    <n v="100"/>
    <n v="0.25"/>
    <n v="2025"/>
    <x v="1"/>
  </r>
  <r>
    <n v="1397"/>
    <x v="240"/>
    <x v="5"/>
    <x v="3"/>
    <s v="USV"/>
    <s v="Tablet"/>
    <s v="75 mg"/>
    <n v="4"/>
    <n v="12"/>
    <n v="20"/>
    <n v="10"/>
    <n v="12"/>
    <x v="2"/>
    <s v="Female"/>
    <n v="23"/>
    <s v="Hubballi"/>
    <x v="3"/>
    <x v="1"/>
    <s v="B9342"/>
    <d v="2026-11-23T00:00:00"/>
    <n v="80"/>
    <n v="48"/>
    <n v="32"/>
    <n v="0.4"/>
    <n v="2025"/>
    <x v="9"/>
  </r>
  <r>
    <n v="1400"/>
    <x v="57"/>
    <x v="5"/>
    <x v="3"/>
    <s v="USV"/>
    <s v="Tablet"/>
    <s v="75 mg"/>
    <n v="4"/>
    <n v="12"/>
    <n v="20"/>
    <n v="5"/>
    <n v="12"/>
    <x v="0"/>
    <s v="Male"/>
    <n v="53"/>
    <s v="Tumakuru"/>
    <x v="3"/>
    <x v="3"/>
    <s v="B9184"/>
    <d v="2027-04-10T00:00:00"/>
    <n v="80"/>
    <n v="48"/>
    <n v="32"/>
    <n v="0.4"/>
    <n v="2025"/>
    <x v="1"/>
  </r>
  <r>
    <n v="1401"/>
    <x v="103"/>
    <x v="11"/>
    <x v="8"/>
    <s v="Sun Pharma"/>
    <s v="Tablet"/>
    <s v="NA"/>
    <n v="4"/>
    <n v="95"/>
    <n v="125"/>
    <n v="5"/>
    <n v="12"/>
    <x v="0"/>
    <s v="Female"/>
    <n v="51"/>
    <s v="Hubballi"/>
    <x v="1"/>
    <x v="4"/>
    <s v="B8912"/>
    <d v="2026-05-01T00:00:00"/>
    <n v="500"/>
    <n v="380"/>
    <n v="120"/>
    <n v="0.24"/>
    <n v="2025"/>
    <x v="11"/>
  </r>
  <r>
    <n v="1402"/>
    <x v="241"/>
    <x v="13"/>
    <x v="2"/>
    <s v="Pfizer"/>
    <s v="Capsule"/>
    <s v="NA"/>
    <n v="4"/>
    <n v="35"/>
    <n v="50"/>
    <n v="0"/>
    <n v="12"/>
    <x v="2"/>
    <s v="Female"/>
    <n v="38"/>
    <s v="Mysuru"/>
    <x v="3"/>
    <x v="1"/>
    <s v="B4220"/>
    <d v="2027-03-30T00:00:00"/>
    <n v="200"/>
    <n v="140"/>
    <n v="60"/>
    <n v="0.3"/>
    <n v="2025"/>
    <x v="0"/>
  </r>
  <r>
    <n v="1408"/>
    <x v="165"/>
    <x v="9"/>
    <x v="7"/>
    <s v="Sun Pharma"/>
    <s v="Tablet"/>
    <s v="40 mg"/>
    <n v="4"/>
    <n v="60"/>
    <n v="85"/>
    <n v="0"/>
    <n v="12"/>
    <x v="1"/>
    <s v="Female"/>
    <n v="24"/>
    <s v="Mysuru"/>
    <x v="3"/>
    <x v="1"/>
    <s v="B1787"/>
    <d v="2027-06-29T00:00:00"/>
    <n v="340"/>
    <n v="240"/>
    <n v="100"/>
    <n v="0.29411764705882354"/>
    <n v="2025"/>
    <x v="2"/>
  </r>
  <r>
    <n v="1418"/>
    <x v="242"/>
    <x v="2"/>
    <x v="2"/>
    <s v="Merck"/>
    <s v="Capsule"/>
    <s v="400 mg"/>
    <n v="4"/>
    <n v="25"/>
    <n v="38"/>
    <n v="5"/>
    <n v="12"/>
    <x v="0"/>
    <s v="Male"/>
    <n v="22"/>
    <s v="Hubballi"/>
    <x v="0"/>
    <x v="3"/>
    <s v="B2341"/>
    <d v="2026-11-15T00:00:00"/>
    <n v="152"/>
    <n v="100"/>
    <n v="52"/>
    <n v="0.34210526315789475"/>
    <n v="2025"/>
    <x v="6"/>
  </r>
  <r>
    <n v="1421"/>
    <x v="243"/>
    <x v="5"/>
    <x v="3"/>
    <s v="USV"/>
    <s v="Tablet"/>
    <s v="75 mg"/>
    <n v="4"/>
    <n v="12"/>
    <n v="20"/>
    <n v="5"/>
    <n v="12"/>
    <x v="0"/>
    <s v="Female"/>
    <n v="43"/>
    <s v="Mysuru"/>
    <x v="2"/>
    <x v="2"/>
    <s v="B6666"/>
    <d v="2026-10-31T00:00:00"/>
    <n v="80"/>
    <n v="48"/>
    <n v="32"/>
    <n v="0.4"/>
    <n v="2025"/>
    <x v="5"/>
  </r>
  <r>
    <n v="1422"/>
    <x v="238"/>
    <x v="0"/>
    <x v="0"/>
    <s v="GSK"/>
    <s v="Tablet"/>
    <s v="625 mg"/>
    <n v="4"/>
    <n v="140"/>
    <n v="180"/>
    <n v="0"/>
    <n v="12"/>
    <x v="1"/>
    <s v="Female"/>
    <n v="37"/>
    <s v="Hubballi"/>
    <x v="2"/>
    <x v="3"/>
    <s v="B5555"/>
    <d v="2027-01-10T00:00:00"/>
    <n v="720"/>
    <n v="560"/>
    <n v="160"/>
    <n v="0.22222222222222221"/>
    <n v="2025"/>
    <x v="5"/>
  </r>
  <r>
    <n v="1430"/>
    <x v="244"/>
    <x v="9"/>
    <x v="7"/>
    <s v="Sun Pharma"/>
    <s v="Tablet"/>
    <s v="40 mg"/>
    <n v="4"/>
    <n v="60"/>
    <n v="85"/>
    <n v="5"/>
    <n v="12"/>
    <x v="1"/>
    <s v="Female"/>
    <n v="68"/>
    <s v="Bengaluru"/>
    <x v="1"/>
    <x v="0"/>
    <s v="B1354"/>
    <d v="2025-11-06T00:00:00"/>
    <n v="340"/>
    <n v="240"/>
    <n v="100"/>
    <n v="0.29411764705882354"/>
    <n v="2025"/>
    <x v="9"/>
  </r>
  <r>
    <n v="1443"/>
    <x v="245"/>
    <x v="5"/>
    <x v="3"/>
    <s v="USV"/>
    <s v="Tablet"/>
    <s v="75 mg"/>
    <n v="4"/>
    <n v="12"/>
    <n v="20"/>
    <n v="5"/>
    <n v="12"/>
    <x v="1"/>
    <s v="Female"/>
    <n v="60"/>
    <s v="Mysuru"/>
    <x v="4"/>
    <x v="2"/>
    <s v="B1985"/>
    <d v="2026-02-23T00:00:00"/>
    <n v="80"/>
    <n v="48"/>
    <n v="32"/>
    <n v="0.4"/>
    <n v="2025"/>
    <x v="7"/>
  </r>
  <r>
    <n v="1448"/>
    <x v="80"/>
    <x v="2"/>
    <x v="2"/>
    <s v="Merck"/>
    <s v="Capsule"/>
    <s v="400 mg"/>
    <n v="4"/>
    <n v="25"/>
    <n v="38"/>
    <n v="5"/>
    <n v="12"/>
    <x v="0"/>
    <s v="Male"/>
    <n v="25"/>
    <s v="Hubballi"/>
    <x v="3"/>
    <x v="3"/>
    <s v="B8283"/>
    <d v="2026-05-31T00:00:00"/>
    <n v="152"/>
    <n v="100"/>
    <n v="52"/>
    <n v="0.34210526315789475"/>
    <n v="2025"/>
    <x v="4"/>
  </r>
  <r>
    <n v="1451"/>
    <x v="209"/>
    <x v="13"/>
    <x v="2"/>
    <s v="Pfizer"/>
    <s v="Capsule"/>
    <s v="NA"/>
    <n v="4"/>
    <n v="35"/>
    <n v="50"/>
    <n v="5"/>
    <n v="12"/>
    <x v="0"/>
    <s v="Female"/>
    <n v="18"/>
    <s v="Mysuru"/>
    <x v="2"/>
    <x v="0"/>
    <s v="B4832"/>
    <d v="2028-03-25T00:00:00"/>
    <n v="200"/>
    <n v="140"/>
    <n v="60"/>
    <n v="0.3"/>
    <n v="2025"/>
    <x v="10"/>
  </r>
  <r>
    <n v="1452"/>
    <x v="246"/>
    <x v="2"/>
    <x v="2"/>
    <s v="Merck"/>
    <s v="Capsule"/>
    <s v="400 mg"/>
    <n v="4"/>
    <n v="25"/>
    <n v="38"/>
    <n v="5"/>
    <n v="12"/>
    <x v="2"/>
    <s v="Male"/>
    <n v="57"/>
    <s v="Mysuru"/>
    <x v="4"/>
    <x v="2"/>
    <s v="B5570"/>
    <d v="2026-02-07T00:00:00"/>
    <n v="152"/>
    <n v="100"/>
    <n v="52"/>
    <n v="0.34210526315789475"/>
    <n v="2025"/>
    <x v="3"/>
  </r>
  <r>
    <n v="1456"/>
    <x v="184"/>
    <x v="12"/>
    <x v="7"/>
    <s v="Alkem"/>
    <s v="Capsule"/>
    <s v="40 mg"/>
    <n v="4"/>
    <n v="70"/>
    <n v="95"/>
    <n v="10"/>
    <n v="12"/>
    <x v="0"/>
    <s v="Female"/>
    <n v="75"/>
    <s v="Mysuru"/>
    <x v="0"/>
    <x v="3"/>
    <s v="B8106"/>
    <d v="2027-09-02T00:00:00"/>
    <n v="380"/>
    <n v="280"/>
    <n v="100"/>
    <n v="0.26315789473684209"/>
    <n v="2025"/>
    <x v="6"/>
  </r>
  <r>
    <n v="1457"/>
    <x v="0"/>
    <x v="11"/>
    <x v="8"/>
    <s v="Sun Pharma"/>
    <s v="Tablet"/>
    <s v="NA"/>
    <n v="4"/>
    <n v="95"/>
    <n v="125"/>
    <n v="5"/>
    <n v="12"/>
    <x v="1"/>
    <s v="Female"/>
    <n v="43"/>
    <s v="Hubballi"/>
    <x v="3"/>
    <x v="2"/>
    <s v="B3981"/>
    <d v="2026-10-29T00:00:00"/>
    <n v="500"/>
    <n v="380"/>
    <n v="120"/>
    <n v="0.24"/>
    <n v="2025"/>
    <x v="0"/>
  </r>
  <r>
    <n v="1461"/>
    <x v="30"/>
    <x v="2"/>
    <x v="2"/>
    <s v="Merck"/>
    <s v="Capsule"/>
    <s v="400 mg"/>
    <n v="4"/>
    <n v="25"/>
    <n v="38"/>
    <n v="5"/>
    <n v="12"/>
    <x v="1"/>
    <s v="Male"/>
    <n v="46"/>
    <s v="Tumakuru"/>
    <x v="2"/>
    <x v="1"/>
    <s v="B6207"/>
    <d v="2026-06-02T00:00:00"/>
    <n v="152"/>
    <n v="100"/>
    <n v="52"/>
    <n v="0.34210526315789475"/>
    <n v="2025"/>
    <x v="7"/>
  </r>
  <r>
    <n v="1466"/>
    <x v="247"/>
    <x v="2"/>
    <x v="2"/>
    <s v="Merck"/>
    <s v="Capsule"/>
    <s v="400 mg"/>
    <n v="4"/>
    <n v="25"/>
    <n v="38"/>
    <n v="0"/>
    <n v="12"/>
    <x v="2"/>
    <s v="Male"/>
    <n v="64"/>
    <s v="Mysuru"/>
    <x v="2"/>
    <x v="4"/>
    <s v="B2743"/>
    <d v="2027-10-08T00:00:00"/>
    <n v="152"/>
    <n v="100"/>
    <n v="52"/>
    <n v="0.34210526315789475"/>
    <n v="2025"/>
    <x v="11"/>
  </r>
  <r>
    <n v="1472"/>
    <x v="33"/>
    <x v="11"/>
    <x v="8"/>
    <s v="Sun Pharma"/>
    <s v="Tablet"/>
    <s v="NA"/>
    <n v="4"/>
    <n v="95"/>
    <n v="125"/>
    <n v="0"/>
    <n v="12"/>
    <x v="1"/>
    <s v="Male"/>
    <n v="23"/>
    <s v="Mysuru"/>
    <x v="1"/>
    <x v="0"/>
    <s v="B2855"/>
    <d v="2027-07-30T00:00:00"/>
    <n v="500"/>
    <n v="380"/>
    <n v="120"/>
    <n v="0.24"/>
    <n v="2025"/>
    <x v="8"/>
  </r>
  <r>
    <n v="1474"/>
    <x v="18"/>
    <x v="10"/>
    <x v="5"/>
    <s v="GSK"/>
    <s v="Tablet"/>
    <s v="500 mg"/>
    <n v="4"/>
    <n v="22"/>
    <n v="32"/>
    <n v="5"/>
    <n v="12"/>
    <x v="1"/>
    <s v="Male"/>
    <n v="61"/>
    <s v="Bengaluru"/>
    <x v="4"/>
    <x v="4"/>
    <s v="B9101"/>
    <d v="2026-08-05T00:00:00"/>
    <n v="128"/>
    <n v="88"/>
    <n v="40"/>
    <n v="0.3125"/>
    <n v="2025"/>
    <x v="9"/>
  </r>
  <r>
    <n v="1478"/>
    <x v="4"/>
    <x v="13"/>
    <x v="2"/>
    <s v="Pfizer"/>
    <s v="Capsule"/>
    <s v="NA"/>
    <n v="4"/>
    <n v="35"/>
    <n v="50"/>
    <n v="10"/>
    <n v="12"/>
    <x v="0"/>
    <s v="Female"/>
    <n v="32"/>
    <s v="Bengaluru"/>
    <x v="2"/>
    <x v="3"/>
    <s v="B4086"/>
    <d v="2025-09-21T00:00:00"/>
    <n v="200"/>
    <n v="140"/>
    <n v="60"/>
    <n v="0.3"/>
    <n v="2025"/>
    <x v="3"/>
  </r>
  <r>
    <n v="1479"/>
    <x v="9"/>
    <x v="2"/>
    <x v="2"/>
    <s v="Merck"/>
    <s v="Capsule"/>
    <s v="400 mg"/>
    <n v="4"/>
    <n v="25"/>
    <n v="38"/>
    <n v="5"/>
    <n v="12"/>
    <x v="0"/>
    <s v="Male"/>
    <n v="47"/>
    <s v="Hubballi"/>
    <x v="0"/>
    <x v="0"/>
    <s v="B7695"/>
    <d v="2026-12-05T00:00:00"/>
    <n v="152"/>
    <n v="100"/>
    <n v="52"/>
    <n v="0.34210526315789475"/>
    <n v="2025"/>
    <x v="5"/>
  </r>
  <r>
    <n v="1008"/>
    <x v="96"/>
    <x v="9"/>
    <x v="7"/>
    <s v="Sun Pharma"/>
    <s v="Tablet"/>
    <s v="40 mg"/>
    <n v="5"/>
    <n v="60"/>
    <n v="85"/>
    <n v="0"/>
    <n v="12"/>
    <x v="0"/>
    <s v="Male"/>
    <n v="43"/>
    <s v="Mysuru"/>
    <x v="3"/>
    <x v="0"/>
    <s v="B7766"/>
    <d v="2025-11-20T00:00:00"/>
    <n v="425"/>
    <n v="300"/>
    <n v="125"/>
    <n v="0.29411764705882354"/>
    <n v="2025"/>
    <x v="8"/>
  </r>
  <r>
    <n v="1013"/>
    <x v="142"/>
    <x v="7"/>
    <x v="5"/>
    <s v="Micro Labs"/>
    <s v="Tablet"/>
    <s v="650 mg"/>
    <n v="5"/>
    <n v="25"/>
    <n v="35"/>
    <n v="0"/>
    <n v="12"/>
    <x v="2"/>
    <s v="Female"/>
    <n v="29"/>
    <s v="Tumakuru"/>
    <x v="0"/>
    <x v="2"/>
    <s v="B8387"/>
    <d v="2026-10-22T00:00:00"/>
    <n v="175"/>
    <n v="125"/>
    <n v="50"/>
    <n v="0.2857142857142857"/>
    <n v="2025"/>
    <x v="8"/>
  </r>
  <r>
    <n v="1015"/>
    <x v="179"/>
    <x v="6"/>
    <x v="4"/>
    <s v="Torrent"/>
    <s v="Tablet"/>
    <s v="500 mg"/>
    <n v="5"/>
    <n v="80"/>
    <n v="110"/>
    <n v="10"/>
    <n v="12"/>
    <x v="0"/>
    <s v="Male"/>
    <n v="54"/>
    <s v="Tumakuru"/>
    <x v="1"/>
    <x v="3"/>
    <s v="B7139"/>
    <d v="2027-12-17T00:00:00"/>
    <n v="550"/>
    <n v="400"/>
    <n v="150"/>
    <n v="0.27272727272727271"/>
    <n v="2025"/>
    <x v="0"/>
  </r>
  <r>
    <n v="1019"/>
    <x v="248"/>
    <x v="6"/>
    <x v="4"/>
    <s v="Torrent"/>
    <s v="Tablet"/>
    <s v="500 mg"/>
    <n v="5"/>
    <n v="80"/>
    <n v="110"/>
    <n v="0"/>
    <n v="12"/>
    <x v="1"/>
    <s v="Male"/>
    <n v="68"/>
    <s v="Tumakuru"/>
    <x v="3"/>
    <x v="4"/>
    <s v="B7166"/>
    <d v="2027-02-12T00:00:00"/>
    <n v="550"/>
    <n v="400"/>
    <n v="150"/>
    <n v="0.27272727272727271"/>
    <n v="2025"/>
    <x v="7"/>
  </r>
  <r>
    <n v="1020"/>
    <x v="62"/>
    <x v="6"/>
    <x v="4"/>
    <s v="Torrent"/>
    <s v="Tablet"/>
    <s v="500 mg"/>
    <n v="5"/>
    <n v="80"/>
    <n v="110"/>
    <n v="5"/>
    <n v="12"/>
    <x v="1"/>
    <s v="Female"/>
    <n v="72"/>
    <s v="Tumakuru"/>
    <x v="4"/>
    <x v="2"/>
    <s v="B2226"/>
    <d v="2027-02-19T00:00:00"/>
    <n v="550"/>
    <n v="400"/>
    <n v="150"/>
    <n v="0.27272727272727271"/>
    <n v="2025"/>
    <x v="10"/>
  </r>
  <r>
    <n v="1024"/>
    <x v="204"/>
    <x v="0"/>
    <x v="0"/>
    <s v="GSK"/>
    <s v="Tablet"/>
    <s v="625 mg"/>
    <n v="5"/>
    <n v="140"/>
    <n v="180"/>
    <n v="5"/>
    <n v="12"/>
    <x v="2"/>
    <s v="Male"/>
    <n v="21"/>
    <s v="Hubballi"/>
    <x v="3"/>
    <x v="4"/>
    <s v="B1525"/>
    <d v="2027-07-21T00:00:00"/>
    <n v="900"/>
    <n v="700"/>
    <n v="200"/>
    <n v="0.22222222222222221"/>
    <n v="2025"/>
    <x v="5"/>
  </r>
  <r>
    <n v="1032"/>
    <x v="248"/>
    <x v="11"/>
    <x v="8"/>
    <s v="Sun Pharma"/>
    <s v="Tablet"/>
    <s v="NA"/>
    <n v="5"/>
    <n v="95"/>
    <n v="125"/>
    <n v="0"/>
    <n v="12"/>
    <x v="2"/>
    <s v="Male"/>
    <n v="31"/>
    <s v="Hubballi"/>
    <x v="4"/>
    <x v="3"/>
    <s v="B6931"/>
    <d v="2027-02-09T00:00:00"/>
    <n v="625"/>
    <n v="475"/>
    <n v="150"/>
    <n v="0.24"/>
    <n v="2025"/>
    <x v="7"/>
  </r>
  <r>
    <n v="1035"/>
    <x v="21"/>
    <x v="9"/>
    <x v="7"/>
    <s v="Sun Pharma"/>
    <s v="Tablet"/>
    <s v="40 mg"/>
    <n v="5"/>
    <n v="60"/>
    <n v="85"/>
    <n v="0"/>
    <n v="12"/>
    <x v="2"/>
    <s v="Female"/>
    <n v="28"/>
    <s v="Tumakuru"/>
    <x v="4"/>
    <x v="2"/>
    <s v="B2716"/>
    <d v="2026-04-09T00:00:00"/>
    <n v="425"/>
    <n v="300"/>
    <n v="125"/>
    <n v="0.29411764705882354"/>
    <n v="2025"/>
    <x v="6"/>
  </r>
  <r>
    <n v="1039"/>
    <x v="86"/>
    <x v="2"/>
    <x v="2"/>
    <s v="Merck"/>
    <s v="Capsule"/>
    <s v="400 mg"/>
    <n v="5"/>
    <n v="25"/>
    <n v="38"/>
    <n v="0"/>
    <n v="12"/>
    <x v="0"/>
    <s v="Male"/>
    <n v="48"/>
    <s v="Tumakuru"/>
    <x v="4"/>
    <x v="3"/>
    <s v="B8632"/>
    <d v="2025-08-31T00:00:00"/>
    <n v="190"/>
    <n v="125"/>
    <n v="65"/>
    <n v="0.34210526315789475"/>
    <n v="2025"/>
    <x v="3"/>
  </r>
  <r>
    <n v="1041"/>
    <x v="249"/>
    <x v="9"/>
    <x v="7"/>
    <s v="Sun Pharma"/>
    <s v="Tablet"/>
    <s v="40 mg"/>
    <n v="5"/>
    <n v="60"/>
    <n v="85"/>
    <n v="5"/>
    <n v="12"/>
    <x v="1"/>
    <s v="Male"/>
    <n v="59"/>
    <s v="Tumakuru"/>
    <x v="1"/>
    <x v="0"/>
    <s v="B7663"/>
    <d v="2027-07-06T00:00:00"/>
    <n v="425"/>
    <n v="300"/>
    <n v="125"/>
    <n v="0.29411764705882354"/>
    <n v="2025"/>
    <x v="6"/>
  </r>
  <r>
    <n v="1044"/>
    <x v="114"/>
    <x v="5"/>
    <x v="3"/>
    <s v="USV"/>
    <s v="Tablet"/>
    <s v="75 mg"/>
    <n v="5"/>
    <n v="12"/>
    <n v="20"/>
    <n v="5"/>
    <n v="12"/>
    <x v="0"/>
    <s v="Male"/>
    <n v="72"/>
    <s v="Hubballi"/>
    <x v="0"/>
    <x v="4"/>
    <s v="B9320"/>
    <d v="2027-08-07T00:00:00"/>
    <n v="100"/>
    <n v="60"/>
    <n v="40"/>
    <n v="0.4"/>
    <n v="2025"/>
    <x v="0"/>
  </r>
  <r>
    <n v="1048"/>
    <x v="250"/>
    <x v="3"/>
    <x v="2"/>
    <s v="Abbott"/>
    <s v="Tablet"/>
    <s v="500 mg"/>
    <n v="5"/>
    <n v="18"/>
    <n v="28"/>
    <n v="0"/>
    <n v="12"/>
    <x v="2"/>
    <s v="Male"/>
    <n v="62"/>
    <s v="Bengaluru"/>
    <x v="4"/>
    <x v="0"/>
    <s v="B8925"/>
    <d v="2026-04-03T00:00:00"/>
    <n v="140"/>
    <n v="90"/>
    <n v="50"/>
    <n v="0.35714285714285715"/>
    <n v="2025"/>
    <x v="0"/>
  </r>
  <r>
    <n v="1050"/>
    <x v="161"/>
    <x v="9"/>
    <x v="7"/>
    <s v="Sun Pharma"/>
    <s v="Tablet"/>
    <s v="40 mg"/>
    <n v="5"/>
    <n v="60"/>
    <n v="85"/>
    <n v="0"/>
    <n v="12"/>
    <x v="1"/>
    <s v="Male"/>
    <n v="28"/>
    <s v="Mysuru"/>
    <x v="2"/>
    <x v="1"/>
    <s v="B5210"/>
    <d v="2026-06-23T00:00:00"/>
    <n v="425"/>
    <n v="300"/>
    <n v="125"/>
    <n v="0.29411764705882354"/>
    <n v="2025"/>
    <x v="7"/>
  </r>
  <r>
    <n v="1053"/>
    <x v="251"/>
    <x v="10"/>
    <x v="5"/>
    <s v="GSK"/>
    <s v="Tablet"/>
    <s v="500 mg"/>
    <n v="5"/>
    <n v="22"/>
    <n v="32"/>
    <n v="10"/>
    <n v="12"/>
    <x v="2"/>
    <s v="Male"/>
    <n v="41"/>
    <s v="Tumakuru"/>
    <x v="4"/>
    <x v="2"/>
    <s v="B8171"/>
    <d v="2026-06-08T00:00:00"/>
    <n v="160"/>
    <n v="110"/>
    <n v="50"/>
    <n v="0.3125"/>
    <n v="2025"/>
    <x v="0"/>
  </r>
  <r>
    <n v="1057"/>
    <x v="141"/>
    <x v="0"/>
    <x v="0"/>
    <s v="GSK"/>
    <s v="Tablet"/>
    <s v="625 mg"/>
    <n v="5"/>
    <n v="140"/>
    <n v="180"/>
    <n v="5"/>
    <n v="12"/>
    <x v="0"/>
    <s v="Female"/>
    <n v="47"/>
    <s v="Tumakuru"/>
    <x v="2"/>
    <x v="0"/>
    <s v="B3245"/>
    <d v="2027-12-29T00:00:00"/>
    <n v="900"/>
    <n v="700"/>
    <n v="200"/>
    <n v="0.22222222222222221"/>
    <n v="2025"/>
    <x v="11"/>
  </r>
  <r>
    <n v="1060"/>
    <x v="13"/>
    <x v="0"/>
    <x v="0"/>
    <s v="GSK"/>
    <s v="Tablet"/>
    <s v="625 mg"/>
    <n v="5"/>
    <n v="140"/>
    <n v="180"/>
    <n v="0"/>
    <n v="12"/>
    <x v="1"/>
    <s v="Female"/>
    <n v="46"/>
    <s v="Hubballi"/>
    <x v="3"/>
    <x v="2"/>
    <s v="B8965"/>
    <d v="2026-08-22T00:00:00"/>
    <n v="900"/>
    <n v="700"/>
    <n v="200"/>
    <n v="0.22222222222222221"/>
    <n v="2025"/>
    <x v="2"/>
  </r>
  <r>
    <n v="1061"/>
    <x v="252"/>
    <x v="8"/>
    <x v="6"/>
    <s v="USV"/>
    <s v="Tablet"/>
    <s v="500 mg"/>
    <n v="5"/>
    <n v="45"/>
    <n v="65"/>
    <n v="5"/>
    <n v="12"/>
    <x v="2"/>
    <s v="Female"/>
    <n v="50"/>
    <s v="Hubballi"/>
    <x v="2"/>
    <x v="2"/>
    <s v="B7407"/>
    <d v="2027-03-21T00:00:00"/>
    <n v="325"/>
    <n v="225"/>
    <n v="100"/>
    <n v="0.30769230769230771"/>
    <n v="2025"/>
    <x v="2"/>
  </r>
  <r>
    <n v="1062"/>
    <x v="238"/>
    <x v="6"/>
    <x v="4"/>
    <s v="Torrent"/>
    <s v="Tablet"/>
    <s v="500 mg"/>
    <n v="5"/>
    <n v="80"/>
    <n v="110"/>
    <n v="0"/>
    <n v="12"/>
    <x v="1"/>
    <s v="Male"/>
    <n v="39"/>
    <s v="Hubballi"/>
    <x v="2"/>
    <x v="2"/>
    <s v="B1508"/>
    <d v="2028-04-18T00:00:00"/>
    <n v="550"/>
    <n v="400"/>
    <n v="150"/>
    <n v="0.27272727272727271"/>
    <n v="2025"/>
    <x v="5"/>
  </r>
  <r>
    <n v="1070"/>
    <x v="203"/>
    <x v="4"/>
    <x v="0"/>
    <s v="Cipla"/>
    <s v="Tablet"/>
    <s v="500 mg"/>
    <n v="5"/>
    <n v="90"/>
    <n v="120"/>
    <n v="5"/>
    <n v="12"/>
    <x v="2"/>
    <s v="Male"/>
    <n v="55"/>
    <s v="Tumakuru"/>
    <x v="0"/>
    <x v="3"/>
    <s v="B8090"/>
    <d v="2027-08-31T00:00:00"/>
    <n v="600"/>
    <n v="450"/>
    <n v="150"/>
    <n v="0.25"/>
    <n v="2025"/>
    <x v="11"/>
  </r>
  <r>
    <n v="1071"/>
    <x v="15"/>
    <x v="11"/>
    <x v="8"/>
    <s v="Sun Pharma"/>
    <s v="Tablet"/>
    <s v="NA"/>
    <n v="5"/>
    <n v="95"/>
    <n v="125"/>
    <n v="5"/>
    <n v="12"/>
    <x v="0"/>
    <s v="Male"/>
    <n v="20"/>
    <s v="Bengaluru"/>
    <x v="2"/>
    <x v="4"/>
    <s v="B7475"/>
    <d v="2026-03-05T00:00:00"/>
    <n v="625"/>
    <n v="475"/>
    <n v="150"/>
    <n v="0.24"/>
    <n v="2025"/>
    <x v="1"/>
  </r>
  <r>
    <n v="1075"/>
    <x v="253"/>
    <x v="10"/>
    <x v="5"/>
    <s v="GSK"/>
    <s v="Tablet"/>
    <s v="500 mg"/>
    <n v="5"/>
    <n v="22"/>
    <n v="32"/>
    <n v="0"/>
    <n v="12"/>
    <x v="2"/>
    <s v="Male"/>
    <n v="35"/>
    <s v="Mysuru"/>
    <x v="3"/>
    <x v="3"/>
    <s v="B7072"/>
    <d v="2026-11-25T00:00:00"/>
    <n v="160"/>
    <n v="110"/>
    <n v="50"/>
    <n v="0.3125"/>
    <n v="2025"/>
    <x v="7"/>
  </r>
  <r>
    <n v="1078"/>
    <x v="203"/>
    <x v="2"/>
    <x v="2"/>
    <s v="Merck"/>
    <s v="Capsule"/>
    <s v="400 mg"/>
    <n v="5"/>
    <n v="25"/>
    <n v="38"/>
    <n v="0"/>
    <n v="12"/>
    <x v="1"/>
    <s v="Female"/>
    <n v="38"/>
    <s v="Mysuru"/>
    <x v="3"/>
    <x v="1"/>
    <s v="B1137"/>
    <d v="2026-06-22T00:00:00"/>
    <n v="190"/>
    <n v="125"/>
    <n v="65"/>
    <n v="0.34210526315789475"/>
    <n v="2025"/>
    <x v="11"/>
  </r>
  <r>
    <n v="1088"/>
    <x v="224"/>
    <x v="1"/>
    <x v="1"/>
    <s v="Glenmark"/>
    <s v="Tablet"/>
    <s v="40 mg"/>
    <n v="5"/>
    <n v="75"/>
    <n v="100"/>
    <n v="0"/>
    <n v="12"/>
    <x v="1"/>
    <s v="Male"/>
    <n v="19"/>
    <s v="Hubballi"/>
    <x v="4"/>
    <x v="0"/>
    <s v="B8323"/>
    <d v="2027-10-27T00:00:00"/>
    <n v="500"/>
    <n v="375"/>
    <n v="125"/>
    <n v="0.25"/>
    <n v="2025"/>
    <x v="5"/>
  </r>
  <r>
    <n v="1094"/>
    <x v="254"/>
    <x v="8"/>
    <x v="6"/>
    <s v="USV"/>
    <s v="Tablet"/>
    <s v="500 mg"/>
    <n v="5"/>
    <n v="45"/>
    <n v="65"/>
    <n v="10"/>
    <n v="12"/>
    <x v="1"/>
    <s v="Male"/>
    <n v="36"/>
    <s v="Hubballi"/>
    <x v="4"/>
    <x v="4"/>
    <s v="B2602"/>
    <d v="2027-08-31T00:00:00"/>
    <n v="325"/>
    <n v="225"/>
    <n v="100"/>
    <n v="0.30769230769230771"/>
    <n v="2025"/>
    <x v="2"/>
  </r>
  <r>
    <n v="1097"/>
    <x v="220"/>
    <x v="0"/>
    <x v="0"/>
    <s v="GSK"/>
    <s v="Tablet"/>
    <s v="625 mg"/>
    <n v="5"/>
    <n v="140"/>
    <n v="180"/>
    <n v="0"/>
    <n v="12"/>
    <x v="2"/>
    <s v="Female"/>
    <n v="63"/>
    <s v="Mysuru"/>
    <x v="4"/>
    <x v="0"/>
    <s v="B4918"/>
    <d v="2026-07-18T00:00:00"/>
    <n v="900"/>
    <n v="700"/>
    <n v="200"/>
    <n v="0.22222222222222221"/>
    <n v="2025"/>
    <x v="10"/>
  </r>
  <r>
    <n v="1103"/>
    <x v="29"/>
    <x v="14"/>
    <x v="5"/>
    <s v="GSK"/>
    <s v="Tablet"/>
    <s v="650 mg"/>
    <n v="5"/>
    <n v="24"/>
    <n v="34"/>
    <n v="5"/>
    <n v="12"/>
    <x v="1"/>
    <s v="Male"/>
    <n v="62"/>
    <s v="Hubballi"/>
    <x v="4"/>
    <x v="2"/>
    <s v="B4519"/>
    <d v="2026-03-31T00:00:00"/>
    <n v="170"/>
    <n v="120"/>
    <n v="50"/>
    <n v="0.29411764705882354"/>
    <n v="2025"/>
    <x v="7"/>
  </r>
  <r>
    <n v="1106"/>
    <x v="162"/>
    <x v="8"/>
    <x v="6"/>
    <s v="USV"/>
    <s v="Tablet"/>
    <s v="500 mg"/>
    <n v="5"/>
    <n v="45"/>
    <n v="65"/>
    <n v="5"/>
    <n v="12"/>
    <x v="0"/>
    <s v="Male"/>
    <n v="32"/>
    <s v="Bengaluru"/>
    <x v="1"/>
    <x v="3"/>
    <s v="B2499"/>
    <d v="2026-03-25T00:00:00"/>
    <n v="325"/>
    <n v="225"/>
    <n v="100"/>
    <n v="0.30769230769230771"/>
    <n v="2025"/>
    <x v="3"/>
  </r>
  <r>
    <n v="1113"/>
    <x v="70"/>
    <x v="4"/>
    <x v="0"/>
    <s v="Cipla"/>
    <s v="Tablet"/>
    <s v="500 mg"/>
    <n v="5"/>
    <n v="90"/>
    <n v="120"/>
    <n v="0"/>
    <n v="12"/>
    <x v="0"/>
    <s v="Female"/>
    <n v="48"/>
    <s v="Mysuru"/>
    <x v="2"/>
    <x v="1"/>
    <s v="B9236"/>
    <d v="2027-10-19T00:00:00"/>
    <n v="600"/>
    <n v="450"/>
    <n v="150"/>
    <n v="0.25"/>
    <n v="2025"/>
    <x v="11"/>
  </r>
  <r>
    <n v="1116"/>
    <x v="177"/>
    <x v="5"/>
    <x v="3"/>
    <s v="USV"/>
    <s v="Tablet"/>
    <s v="75 mg"/>
    <n v="5"/>
    <n v="12"/>
    <n v="20"/>
    <n v="10"/>
    <n v="12"/>
    <x v="0"/>
    <s v="Male"/>
    <n v="42"/>
    <s v="Bengaluru"/>
    <x v="3"/>
    <x v="4"/>
    <s v="B2089"/>
    <d v="2027-01-18T00:00:00"/>
    <n v="100"/>
    <n v="60"/>
    <n v="40"/>
    <n v="0.4"/>
    <n v="2025"/>
    <x v="5"/>
  </r>
  <r>
    <n v="1120"/>
    <x v="255"/>
    <x v="9"/>
    <x v="7"/>
    <s v="Sun Pharma"/>
    <s v="Tablet"/>
    <s v="40 mg"/>
    <n v="5"/>
    <n v="60"/>
    <n v="85"/>
    <n v="0"/>
    <n v="12"/>
    <x v="2"/>
    <s v="Male"/>
    <n v="50"/>
    <s v="Tumakuru"/>
    <x v="4"/>
    <x v="1"/>
    <s v="B3527"/>
    <d v="2026-09-02T00:00:00"/>
    <n v="425"/>
    <n v="300"/>
    <n v="125"/>
    <n v="0.29411764705882354"/>
    <n v="2025"/>
    <x v="5"/>
  </r>
  <r>
    <n v="1123"/>
    <x v="64"/>
    <x v="0"/>
    <x v="0"/>
    <s v="GSK"/>
    <s v="Tablet"/>
    <s v="625 mg"/>
    <n v="5"/>
    <n v="140"/>
    <n v="180"/>
    <n v="0"/>
    <n v="12"/>
    <x v="0"/>
    <s v="Female"/>
    <n v="51"/>
    <s v="Hubballi"/>
    <x v="1"/>
    <x v="3"/>
    <s v="B8850"/>
    <d v="2028-01-07T00:00:00"/>
    <n v="900"/>
    <n v="700"/>
    <n v="200"/>
    <n v="0.22222222222222221"/>
    <n v="2025"/>
    <x v="4"/>
  </r>
  <r>
    <n v="1124"/>
    <x v="115"/>
    <x v="10"/>
    <x v="5"/>
    <s v="GSK"/>
    <s v="Tablet"/>
    <s v="500 mg"/>
    <n v="5"/>
    <n v="22"/>
    <n v="32"/>
    <n v="10"/>
    <n v="12"/>
    <x v="1"/>
    <s v="Female"/>
    <n v="71"/>
    <s v="Hubballi"/>
    <x v="2"/>
    <x v="4"/>
    <s v="B9766"/>
    <d v="2027-02-10T00:00:00"/>
    <n v="160"/>
    <n v="110"/>
    <n v="50"/>
    <n v="0.3125"/>
    <n v="2025"/>
    <x v="9"/>
  </r>
  <r>
    <n v="1129"/>
    <x v="96"/>
    <x v="5"/>
    <x v="3"/>
    <s v="USV"/>
    <s v="Tablet"/>
    <s v="75 mg"/>
    <n v="5"/>
    <n v="12"/>
    <n v="20"/>
    <n v="10"/>
    <n v="12"/>
    <x v="2"/>
    <s v="Female"/>
    <n v="63"/>
    <s v="Bengaluru"/>
    <x v="0"/>
    <x v="0"/>
    <s v="B3192"/>
    <d v="2026-04-19T00:00:00"/>
    <n v="100"/>
    <n v="60"/>
    <n v="40"/>
    <n v="0.4"/>
    <n v="2025"/>
    <x v="8"/>
  </r>
  <r>
    <n v="1135"/>
    <x v="21"/>
    <x v="6"/>
    <x v="4"/>
    <s v="Torrent"/>
    <s v="Tablet"/>
    <s v="500 mg"/>
    <n v="5"/>
    <n v="80"/>
    <n v="110"/>
    <n v="10"/>
    <n v="12"/>
    <x v="2"/>
    <s v="Female"/>
    <n v="26"/>
    <s v="Hubballi"/>
    <x v="2"/>
    <x v="0"/>
    <s v="B5721"/>
    <d v="2027-09-21T00:00:00"/>
    <n v="550"/>
    <n v="400"/>
    <n v="150"/>
    <n v="0.27272727272727271"/>
    <n v="2025"/>
    <x v="6"/>
  </r>
  <r>
    <n v="1141"/>
    <x v="111"/>
    <x v="11"/>
    <x v="8"/>
    <s v="Sun Pharma"/>
    <s v="Tablet"/>
    <s v="NA"/>
    <n v="5"/>
    <n v="95"/>
    <n v="125"/>
    <n v="10"/>
    <n v="12"/>
    <x v="0"/>
    <s v="Female"/>
    <n v="38"/>
    <s v="Tumakuru"/>
    <x v="4"/>
    <x v="1"/>
    <s v="B2863"/>
    <d v="2026-12-02T00:00:00"/>
    <n v="625"/>
    <n v="475"/>
    <n v="150"/>
    <n v="0.24"/>
    <n v="2025"/>
    <x v="7"/>
  </r>
  <r>
    <n v="1142"/>
    <x v="139"/>
    <x v="12"/>
    <x v="7"/>
    <s v="Alkem"/>
    <s v="Capsule"/>
    <s v="40 mg"/>
    <n v="5"/>
    <n v="70"/>
    <n v="95"/>
    <n v="10"/>
    <n v="12"/>
    <x v="0"/>
    <s v="Female"/>
    <n v="43"/>
    <s v="Bengaluru"/>
    <x v="0"/>
    <x v="2"/>
    <s v="B8631"/>
    <d v="2028-01-21T00:00:00"/>
    <n v="475"/>
    <n v="350"/>
    <n v="125"/>
    <n v="0.26315789473684209"/>
    <n v="2025"/>
    <x v="5"/>
  </r>
  <r>
    <n v="1148"/>
    <x v="21"/>
    <x v="4"/>
    <x v="0"/>
    <s v="Cipla"/>
    <s v="Tablet"/>
    <s v="500 mg"/>
    <n v="5"/>
    <n v="90"/>
    <n v="120"/>
    <n v="0"/>
    <n v="12"/>
    <x v="1"/>
    <s v="Male"/>
    <n v="27"/>
    <s v="Bengaluru"/>
    <x v="4"/>
    <x v="3"/>
    <s v="B5514"/>
    <d v="2026-03-16T00:00:00"/>
    <n v="600"/>
    <n v="450"/>
    <n v="150"/>
    <n v="0.25"/>
    <n v="2025"/>
    <x v="6"/>
  </r>
  <r>
    <n v="1157"/>
    <x v="256"/>
    <x v="3"/>
    <x v="2"/>
    <s v="Abbott"/>
    <s v="Tablet"/>
    <s v="500 mg"/>
    <n v="5"/>
    <n v="18"/>
    <n v="28"/>
    <n v="5"/>
    <n v="12"/>
    <x v="1"/>
    <s v="Male"/>
    <n v="18"/>
    <s v="Hubballi"/>
    <x v="3"/>
    <x v="0"/>
    <s v="B8409"/>
    <d v="2027-12-20T00:00:00"/>
    <n v="140"/>
    <n v="90"/>
    <n v="50"/>
    <n v="0.35714285714285715"/>
    <n v="2025"/>
    <x v="11"/>
  </r>
  <r>
    <n v="1162"/>
    <x v="130"/>
    <x v="1"/>
    <x v="1"/>
    <s v="Glenmark"/>
    <s v="Tablet"/>
    <s v="40 mg"/>
    <n v="5"/>
    <n v="75"/>
    <n v="100"/>
    <n v="0"/>
    <n v="12"/>
    <x v="1"/>
    <s v="Male"/>
    <n v="31"/>
    <s v="Mysuru"/>
    <x v="2"/>
    <x v="2"/>
    <s v="B3119"/>
    <d v="2027-02-20T00:00:00"/>
    <n v="500"/>
    <n v="375"/>
    <n v="125"/>
    <n v="0.25"/>
    <n v="2025"/>
    <x v="0"/>
  </r>
  <r>
    <n v="1165"/>
    <x v="257"/>
    <x v="14"/>
    <x v="5"/>
    <s v="GSK"/>
    <s v="Tablet"/>
    <s v="650 mg"/>
    <n v="5"/>
    <n v="24"/>
    <n v="34"/>
    <n v="5"/>
    <n v="12"/>
    <x v="2"/>
    <s v="Male"/>
    <n v="61"/>
    <s v="Hubballi"/>
    <x v="2"/>
    <x v="2"/>
    <s v="B5016"/>
    <d v="2027-10-01T00:00:00"/>
    <n v="170"/>
    <n v="120"/>
    <n v="50"/>
    <n v="0.29411764705882354"/>
    <n v="2025"/>
    <x v="6"/>
  </r>
  <r>
    <n v="1166"/>
    <x v="229"/>
    <x v="12"/>
    <x v="7"/>
    <s v="Alkem"/>
    <s v="Capsule"/>
    <s v="40 mg"/>
    <n v="5"/>
    <n v="70"/>
    <n v="95"/>
    <n v="5"/>
    <n v="12"/>
    <x v="2"/>
    <s v="Female"/>
    <n v="60"/>
    <s v="Mysuru"/>
    <x v="1"/>
    <x v="4"/>
    <s v="B4998"/>
    <d v="2026-07-11T00:00:00"/>
    <n v="475"/>
    <n v="350"/>
    <n v="125"/>
    <n v="0.26315789473684209"/>
    <n v="2025"/>
    <x v="8"/>
  </r>
  <r>
    <n v="1168"/>
    <x v="169"/>
    <x v="12"/>
    <x v="7"/>
    <s v="Alkem"/>
    <s v="Capsule"/>
    <s v="40 mg"/>
    <n v="5"/>
    <n v="70"/>
    <n v="95"/>
    <n v="0"/>
    <n v="12"/>
    <x v="1"/>
    <s v="Female"/>
    <n v="51"/>
    <s v="Hubballi"/>
    <x v="0"/>
    <x v="4"/>
    <s v="B4892"/>
    <d v="2028-04-21T00:00:00"/>
    <n v="475"/>
    <n v="350"/>
    <n v="125"/>
    <n v="0.26315789473684209"/>
    <n v="2025"/>
    <x v="5"/>
  </r>
  <r>
    <n v="1171"/>
    <x v="258"/>
    <x v="0"/>
    <x v="0"/>
    <s v="GSK"/>
    <s v="Tablet"/>
    <s v="625 mg"/>
    <n v="5"/>
    <n v="140"/>
    <n v="180"/>
    <n v="0"/>
    <n v="12"/>
    <x v="0"/>
    <s v="Female"/>
    <n v="35"/>
    <s v="Bengaluru"/>
    <x v="4"/>
    <x v="0"/>
    <s v="B8842"/>
    <d v="2027-07-10T00:00:00"/>
    <n v="900"/>
    <n v="700"/>
    <n v="200"/>
    <n v="0.22222222222222221"/>
    <n v="2025"/>
    <x v="0"/>
  </r>
  <r>
    <n v="1178"/>
    <x v="14"/>
    <x v="13"/>
    <x v="2"/>
    <s v="Pfizer"/>
    <s v="Capsule"/>
    <s v="NA"/>
    <n v="5"/>
    <n v="35"/>
    <n v="50"/>
    <n v="10"/>
    <n v="12"/>
    <x v="1"/>
    <s v="Female"/>
    <n v="50"/>
    <s v="Hubballi"/>
    <x v="4"/>
    <x v="3"/>
    <s v="B6964"/>
    <d v="2026-04-04T00:00:00"/>
    <n v="250"/>
    <n v="175"/>
    <n v="75"/>
    <n v="0.3"/>
    <n v="2025"/>
    <x v="7"/>
  </r>
  <r>
    <n v="1181"/>
    <x v="128"/>
    <x v="3"/>
    <x v="2"/>
    <s v="Abbott"/>
    <s v="Tablet"/>
    <s v="500 mg"/>
    <n v="5"/>
    <n v="18"/>
    <n v="28"/>
    <n v="0"/>
    <n v="12"/>
    <x v="1"/>
    <s v="Female"/>
    <n v="39"/>
    <s v="Bengaluru"/>
    <x v="3"/>
    <x v="3"/>
    <s v="B9076"/>
    <d v="2027-05-27T00:00:00"/>
    <n v="140"/>
    <n v="90"/>
    <n v="50"/>
    <n v="0.35714285714285715"/>
    <n v="2025"/>
    <x v="9"/>
  </r>
  <r>
    <n v="1187"/>
    <x v="203"/>
    <x v="7"/>
    <x v="5"/>
    <s v="Micro Labs"/>
    <s v="Tablet"/>
    <s v="650 mg"/>
    <n v="5"/>
    <n v="25"/>
    <n v="35"/>
    <n v="10"/>
    <n v="12"/>
    <x v="2"/>
    <s v="Male"/>
    <n v="44"/>
    <s v="Mysuru"/>
    <x v="1"/>
    <x v="4"/>
    <s v="B5799"/>
    <d v="2027-03-01T00:00:00"/>
    <n v="175"/>
    <n v="125"/>
    <n v="50"/>
    <n v="0.2857142857142857"/>
    <n v="2025"/>
    <x v="11"/>
  </r>
  <r>
    <n v="1196"/>
    <x v="259"/>
    <x v="12"/>
    <x v="7"/>
    <s v="Alkem"/>
    <s v="Capsule"/>
    <s v="40 mg"/>
    <n v="5"/>
    <n v="70"/>
    <n v="95"/>
    <n v="10"/>
    <n v="12"/>
    <x v="1"/>
    <s v="Female"/>
    <n v="74"/>
    <s v="Mysuru"/>
    <x v="4"/>
    <x v="2"/>
    <s v="B4136"/>
    <d v="2027-08-31T00:00:00"/>
    <n v="475"/>
    <n v="350"/>
    <n v="125"/>
    <n v="0.26315789473684209"/>
    <n v="2025"/>
    <x v="4"/>
  </r>
  <r>
    <n v="1198"/>
    <x v="222"/>
    <x v="13"/>
    <x v="2"/>
    <s v="Pfizer"/>
    <s v="Capsule"/>
    <s v="NA"/>
    <n v="5"/>
    <n v="35"/>
    <n v="50"/>
    <n v="0"/>
    <n v="12"/>
    <x v="2"/>
    <s v="Male"/>
    <n v="41"/>
    <s v="Bengaluru"/>
    <x v="3"/>
    <x v="1"/>
    <s v="B9575"/>
    <d v="2027-05-18T00:00:00"/>
    <n v="250"/>
    <n v="175"/>
    <n v="75"/>
    <n v="0.3"/>
    <n v="2025"/>
    <x v="10"/>
  </r>
  <r>
    <n v="1203"/>
    <x v="201"/>
    <x v="7"/>
    <x v="5"/>
    <s v="Micro Labs"/>
    <s v="Tablet"/>
    <s v="650 mg"/>
    <n v="5"/>
    <n v="25"/>
    <n v="35"/>
    <n v="0"/>
    <n v="12"/>
    <x v="2"/>
    <s v="Male"/>
    <n v="60"/>
    <s v="Bengaluru"/>
    <x v="2"/>
    <x v="3"/>
    <s v="B3003"/>
    <d v="2026-11-24T00:00:00"/>
    <n v="175"/>
    <n v="125"/>
    <n v="50"/>
    <n v="0.2857142857142857"/>
    <n v="2025"/>
    <x v="5"/>
  </r>
  <r>
    <n v="1205"/>
    <x v="239"/>
    <x v="13"/>
    <x v="2"/>
    <s v="Pfizer"/>
    <s v="Capsule"/>
    <s v="NA"/>
    <n v="5"/>
    <n v="35"/>
    <n v="50"/>
    <n v="10"/>
    <n v="12"/>
    <x v="1"/>
    <s v="Male"/>
    <n v="60"/>
    <s v="Hubballi"/>
    <x v="2"/>
    <x v="2"/>
    <s v="B2399"/>
    <d v="2026-12-23T00:00:00"/>
    <n v="250"/>
    <n v="175"/>
    <n v="75"/>
    <n v="0.3"/>
    <n v="2025"/>
    <x v="11"/>
  </r>
  <r>
    <n v="1207"/>
    <x v="260"/>
    <x v="2"/>
    <x v="2"/>
    <s v="Merck"/>
    <s v="Capsule"/>
    <s v="400 mg"/>
    <n v="5"/>
    <n v="25"/>
    <n v="38"/>
    <n v="0"/>
    <n v="12"/>
    <x v="1"/>
    <s v="Female"/>
    <n v="23"/>
    <s v="Tumakuru"/>
    <x v="3"/>
    <x v="3"/>
    <s v="B3557"/>
    <d v="2026-11-11T00:00:00"/>
    <n v="190"/>
    <n v="125"/>
    <n v="65"/>
    <n v="0.34210526315789475"/>
    <n v="2025"/>
    <x v="9"/>
  </r>
  <r>
    <n v="1214"/>
    <x v="172"/>
    <x v="8"/>
    <x v="6"/>
    <s v="USV"/>
    <s v="Tablet"/>
    <s v="500 mg"/>
    <n v="5"/>
    <n v="45"/>
    <n v="65"/>
    <n v="5"/>
    <n v="12"/>
    <x v="2"/>
    <s v="Female"/>
    <n v="68"/>
    <s v="Hubballi"/>
    <x v="0"/>
    <x v="3"/>
    <s v="B1744"/>
    <d v="2027-03-20T00:00:00"/>
    <n v="325"/>
    <n v="225"/>
    <n v="100"/>
    <n v="0.30769230769230771"/>
    <n v="2025"/>
    <x v="8"/>
  </r>
  <r>
    <n v="1223"/>
    <x v="257"/>
    <x v="4"/>
    <x v="0"/>
    <s v="Cipla"/>
    <s v="Tablet"/>
    <s v="500 mg"/>
    <n v="5"/>
    <n v="90"/>
    <n v="120"/>
    <n v="5"/>
    <n v="12"/>
    <x v="2"/>
    <s v="Male"/>
    <n v="71"/>
    <s v="Bengaluru"/>
    <x v="2"/>
    <x v="2"/>
    <s v="B4831"/>
    <d v="2027-03-15T00:00:00"/>
    <n v="600"/>
    <n v="450"/>
    <n v="150"/>
    <n v="0.25"/>
    <n v="2025"/>
    <x v="6"/>
  </r>
  <r>
    <n v="1233"/>
    <x v="185"/>
    <x v="14"/>
    <x v="5"/>
    <s v="GSK"/>
    <s v="Tablet"/>
    <s v="650 mg"/>
    <n v="5"/>
    <n v="24"/>
    <n v="34"/>
    <n v="10"/>
    <n v="12"/>
    <x v="1"/>
    <s v="Female"/>
    <n v="60"/>
    <s v="Bengaluru"/>
    <x v="2"/>
    <x v="1"/>
    <s v="B6999"/>
    <d v="2026-03-25T00:00:00"/>
    <n v="170"/>
    <n v="120"/>
    <n v="50"/>
    <n v="0.29411764705882354"/>
    <n v="2025"/>
    <x v="11"/>
  </r>
  <r>
    <n v="1234"/>
    <x v="67"/>
    <x v="6"/>
    <x v="4"/>
    <s v="Torrent"/>
    <s v="Tablet"/>
    <s v="500 mg"/>
    <n v="5"/>
    <n v="80"/>
    <n v="110"/>
    <n v="5"/>
    <n v="12"/>
    <x v="1"/>
    <s v="Male"/>
    <n v="44"/>
    <s v="Mysuru"/>
    <x v="0"/>
    <x v="3"/>
    <s v="B4254"/>
    <d v="2026-05-09T00:00:00"/>
    <n v="550"/>
    <n v="400"/>
    <n v="150"/>
    <n v="0.27272727272727271"/>
    <n v="2025"/>
    <x v="7"/>
  </r>
  <r>
    <n v="1235"/>
    <x v="125"/>
    <x v="10"/>
    <x v="5"/>
    <s v="GSK"/>
    <s v="Tablet"/>
    <s v="500 mg"/>
    <n v="5"/>
    <n v="22"/>
    <n v="32"/>
    <n v="5"/>
    <n v="12"/>
    <x v="0"/>
    <s v="Male"/>
    <n v="32"/>
    <s v="Bengaluru"/>
    <x v="2"/>
    <x v="3"/>
    <s v="B7226"/>
    <d v="2026-09-07T00:00:00"/>
    <n v="160"/>
    <n v="110"/>
    <n v="50"/>
    <n v="0.3125"/>
    <n v="2025"/>
    <x v="3"/>
  </r>
  <r>
    <n v="1236"/>
    <x v="158"/>
    <x v="9"/>
    <x v="7"/>
    <s v="Sun Pharma"/>
    <s v="Tablet"/>
    <s v="40 mg"/>
    <n v="5"/>
    <n v="60"/>
    <n v="85"/>
    <n v="0"/>
    <n v="12"/>
    <x v="2"/>
    <s v="Male"/>
    <n v="46"/>
    <s v="Bengaluru"/>
    <x v="0"/>
    <x v="3"/>
    <s v="B8995"/>
    <d v="2027-04-12T00:00:00"/>
    <n v="425"/>
    <n v="300"/>
    <n v="125"/>
    <n v="0.29411764705882354"/>
    <n v="2025"/>
    <x v="3"/>
  </r>
  <r>
    <n v="1246"/>
    <x v="261"/>
    <x v="10"/>
    <x v="5"/>
    <s v="GSK"/>
    <s v="Tablet"/>
    <s v="500 mg"/>
    <n v="5"/>
    <n v="22"/>
    <n v="32"/>
    <n v="10"/>
    <n v="12"/>
    <x v="2"/>
    <s v="Female"/>
    <n v="65"/>
    <s v="Mysuru"/>
    <x v="0"/>
    <x v="3"/>
    <s v="B4886"/>
    <d v="2027-02-28T00:00:00"/>
    <n v="160"/>
    <n v="110"/>
    <n v="50"/>
    <n v="0.3125"/>
    <n v="2025"/>
    <x v="5"/>
  </r>
  <r>
    <n v="1253"/>
    <x v="230"/>
    <x v="8"/>
    <x v="6"/>
    <s v="USV"/>
    <s v="Tablet"/>
    <s v="500 mg"/>
    <n v="5"/>
    <n v="45"/>
    <n v="65"/>
    <n v="5"/>
    <n v="12"/>
    <x v="0"/>
    <s v="Male"/>
    <n v="41"/>
    <s v="Bengaluru"/>
    <x v="0"/>
    <x v="4"/>
    <s v="B5721"/>
    <d v="2026-05-29T00:00:00"/>
    <n v="325"/>
    <n v="225"/>
    <n v="100"/>
    <n v="0.30769230769230771"/>
    <n v="2025"/>
    <x v="4"/>
  </r>
  <r>
    <n v="1258"/>
    <x v="242"/>
    <x v="4"/>
    <x v="0"/>
    <s v="Cipla"/>
    <s v="Tablet"/>
    <s v="500 mg"/>
    <n v="5"/>
    <n v="90"/>
    <n v="120"/>
    <n v="10"/>
    <n v="12"/>
    <x v="1"/>
    <s v="Female"/>
    <n v="73"/>
    <s v="Tumakuru"/>
    <x v="0"/>
    <x v="2"/>
    <s v="B4540"/>
    <d v="2026-02-14T00:00:00"/>
    <n v="600"/>
    <n v="450"/>
    <n v="150"/>
    <n v="0.25"/>
    <n v="2025"/>
    <x v="6"/>
  </r>
  <r>
    <n v="1262"/>
    <x v="97"/>
    <x v="5"/>
    <x v="3"/>
    <s v="USV"/>
    <s v="Tablet"/>
    <s v="75 mg"/>
    <n v="5"/>
    <n v="12"/>
    <n v="20"/>
    <n v="0"/>
    <n v="12"/>
    <x v="1"/>
    <s v="Male"/>
    <n v="54"/>
    <s v="Tumakuru"/>
    <x v="4"/>
    <x v="4"/>
    <s v="B5487"/>
    <d v="2026-01-03T00:00:00"/>
    <n v="100"/>
    <n v="60"/>
    <n v="40"/>
    <n v="0.4"/>
    <n v="2025"/>
    <x v="1"/>
  </r>
  <r>
    <n v="1264"/>
    <x v="183"/>
    <x v="14"/>
    <x v="5"/>
    <s v="GSK"/>
    <s v="Tablet"/>
    <s v="650 mg"/>
    <n v="5"/>
    <n v="24"/>
    <n v="34"/>
    <n v="0"/>
    <n v="12"/>
    <x v="1"/>
    <s v="Male"/>
    <n v="66"/>
    <s v="Bengaluru"/>
    <x v="0"/>
    <x v="3"/>
    <s v="B9137"/>
    <d v="2028-02-11T00:00:00"/>
    <n v="170"/>
    <n v="120"/>
    <n v="50"/>
    <n v="0.29411764705882354"/>
    <n v="2025"/>
    <x v="5"/>
  </r>
  <r>
    <n v="1272"/>
    <x v="136"/>
    <x v="11"/>
    <x v="8"/>
    <s v="Sun Pharma"/>
    <s v="Tablet"/>
    <s v="NA"/>
    <n v="5"/>
    <n v="95"/>
    <n v="125"/>
    <n v="10"/>
    <n v="12"/>
    <x v="1"/>
    <s v="Female"/>
    <n v="49"/>
    <s v="Mysuru"/>
    <x v="3"/>
    <x v="2"/>
    <s v="B2995"/>
    <d v="2027-02-08T00:00:00"/>
    <n v="625"/>
    <n v="475"/>
    <n v="150"/>
    <n v="0.24"/>
    <n v="2025"/>
    <x v="9"/>
  </r>
  <r>
    <n v="1276"/>
    <x v="234"/>
    <x v="8"/>
    <x v="6"/>
    <s v="USV"/>
    <s v="Tablet"/>
    <s v="500 mg"/>
    <n v="5"/>
    <n v="45"/>
    <n v="65"/>
    <n v="0"/>
    <n v="12"/>
    <x v="0"/>
    <s v="Female"/>
    <n v="35"/>
    <s v="Hubballi"/>
    <x v="4"/>
    <x v="2"/>
    <s v="B8132"/>
    <d v="2026-09-08T00:00:00"/>
    <n v="325"/>
    <n v="225"/>
    <n v="100"/>
    <n v="0.30769230769230771"/>
    <n v="2025"/>
    <x v="3"/>
  </r>
  <r>
    <n v="1283"/>
    <x v="183"/>
    <x v="5"/>
    <x v="3"/>
    <s v="USV"/>
    <s v="Tablet"/>
    <s v="75 mg"/>
    <n v="5"/>
    <n v="12"/>
    <n v="20"/>
    <n v="10"/>
    <n v="12"/>
    <x v="0"/>
    <s v="Male"/>
    <n v="36"/>
    <s v="Mysuru"/>
    <x v="2"/>
    <x v="3"/>
    <s v="B4378"/>
    <d v="2027-10-29T00:00:00"/>
    <n v="100"/>
    <n v="60"/>
    <n v="40"/>
    <n v="0.4"/>
    <n v="2025"/>
    <x v="5"/>
  </r>
  <r>
    <n v="1285"/>
    <x v="262"/>
    <x v="8"/>
    <x v="6"/>
    <s v="USV"/>
    <s v="Tablet"/>
    <s v="500 mg"/>
    <n v="5"/>
    <n v="45"/>
    <n v="65"/>
    <n v="0"/>
    <n v="12"/>
    <x v="1"/>
    <s v="Male"/>
    <n v="57"/>
    <s v="Bengaluru"/>
    <x v="0"/>
    <x v="1"/>
    <s v="B6779"/>
    <d v="2027-03-11T00:00:00"/>
    <n v="325"/>
    <n v="225"/>
    <n v="100"/>
    <n v="0.30769230769230771"/>
    <n v="2025"/>
    <x v="8"/>
  </r>
  <r>
    <n v="1287"/>
    <x v="98"/>
    <x v="10"/>
    <x v="5"/>
    <s v="GSK"/>
    <s v="Tablet"/>
    <s v="500 mg"/>
    <n v="5"/>
    <n v="22"/>
    <n v="32"/>
    <n v="5"/>
    <n v="12"/>
    <x v="1"/>
    <s v="Male"/>
    <n v="41"/>
    <s v="Tumakuru"/>
    <x v="2"/>
    <x v="0"/>
    <s v="B7233"/>
    <d v="2026-03-06T00:00:00"/>
    <n v="160"/>
    <n v="110"/>
    <n v="50"/>
    <n v="0.3125"/>
    <n v="2025"/>
    <x v="0"/>
  </r>
  <r>
    <n v="1294"/>
    <x v="263"/>
    <x v="6"/>
    <x v="4"/>
    <s v="Torrent"/>
    <s v="Tablet"/>
    <s v="500 mg"/>
    <n v="5"/>
    <n v="80"/>
    <n v="110"/>
    <n v="10"/>
    <n v="12"/>
    <x v="0"/>
    <s v="Male"/>
    <n v="43"/>
    <s v="Bengaluru"/>
    <x v="1"/>
    <x v="0"/>
    <s v="B4218"/>
    <d v="2026-01-08T00:00:00"/>
    <n v="550"/>
    <n v="400"/>
    <n v="150"/>
    <n v="0.27272727272727271"/>
    <n v="2025"/>
    <x v="9"/>
  </r>
  <r>
    <n v="1299"/>
    <x v="145"/>
    <x v="10"/>
    <x v="5"/>
    <s v="GSK"/>
    <s v="Tablet"/>
    <s v="500 mg"/>
    <n v="5"/>
    <n v="22"/>
    <n v="32"/>
    <n v="5"/>
    <n v="12"/>
    <x v="0"/>
    <s v="Female"/>
    <n v="37"/>
    <s v="Hubballi"/>
    <x v="0"/>
    <x v="4"/>
    <s v="B2756"/>
    <d v="2027-02-19T00:00:00"/>
    <n v="160"/>
    <n v="110"/>
    <n v="50"/>
    <n v="0.3125"/>
    <n v="2025"/>
    <x v="1"/>
  </r>
  <r>
    <n v="1302"/>
    <x v="163"/>
    <x v="4"/>
    <x v="0"/>
    <s v="Cipla"/>
    <s v="Tablet"/>
    <s v="500 mg"/>
    <n v="5"/>
    <n v="90"/>
    <n v="120"/>
    <n v="10"/>
    <n v="12"/>
    <x v="1"/>
    <s v="Female"/>
    <n v="58"/>
    <s v="Bengaluru"/>
    <x v="3"/>
    <x v="2"/>
    <s v="B4756"/>
    <d v="2027-10-12T00:00:00"/>
    <n v="600"/>
    <n v="450"/>
    <n v="150"/>
    <n v="0.25"/>
    <n v="2025"/>
    <x v="2"/>
  </r>
  <r>
    <n v="1305"/>
    <x v="264"/>
    <x v="7"/>
    <x v="5"/>
    <s v="Micro Labs"/>
    <s v="Tablet"/>
    <s v="650 mg"/>
    <n v="5"/>
    <n v="25"/>
    <n v="35"/>
    <n v="5"/>
    <n v="12"/>
    <x v="0"/>
    <s v="Female"/>
    <n v="71"/>
    <s v="Tumakuru"/>
    <x v="0"/>
    <x v="3"/>
    <s v="B2846"/>
    <d v="2026-07-27T00:00:00"/>
    <n v="175"/>
    <n v="125"/>
    <n v="50"/>
    <n v="0.2857142857142857"/>
    <n v="2025"/>
    <x v="4"/>
  </r>
  <r>
    <n v="1326"/>
    <x v="110"/>
    <x v="4"/>
    <x v="0"/>
    <s v="Cipla"/>
    <s v="Tablet"/>
    <s v="500 mg"/>
    <n v="5"/>
    <n v="90"/>
    <n v="120"/>
    <n v="10"/>
    <n v="12"/>
    <x v="2"/>
    <s v="Male"/>
    <n v="30"/>
    <s v="Bengaluru"/>
    <x v="1"/>
    <x v="2"/>
    <s v="B1731"/>
    <d v="2026-10-22T00:00:00"/>
    <n v="600"/>
    <n v="450"/>
    <n v="150"/>
    <n v="0.25"/>
    <n v="2025"/>
    <x v="4"/>
  </r>
  <r>
    <n v="1328"/>
    <x v="265"/>
    <x v="13"/>
    <x v="2"/>
    <s v="Pfizer"/>
    <s v="Capsule"/>
    <s v="NA"/>
    <n v="5"/>
    <n v="35"/>
    <n v="50"/>
    <n v="10"/>
    <n v="12"/>
    <x v="0"/>
    <s v="Female"/>
    <n v="75"/>
    <s v="Tumakuru"/>
    <x v="4"/>
    <x v="2"/>
    <s v="B1404"/>
    <d v="2025-12-18T00:00:00"/>
    <n v="250"/>
    <n v="175"/>
    <n v="75"/>
    <n v="0.3"/>
    <n v="2025"/>
    <x v="9"/>
  </r>
  <r>
    <n v="1330"/>
    <x v="246"/>
    <x v="10"/>
    <x v="5"/>
    <s v="GSK"/>
    <s v="Tablet"/>
    <s v="500 mg"/>
    <n v="5"/>
    <n v="22"/>
    <n v="32"/>
    <n v="10"/>
    <n v="12"/>
    <x v="1"/>
    <s v="Male"/>
    <n v="66"/>
    <s v="Tumakuru"/>
    <x v="0"/>
    <x v="3"/>
    <s v="B6458"/>
    <d v="2025-11-29T00:00:00"/>
    <n v="160"/>
    <n v="110"/>
    <n v="50"/>
    <n v="0.3125"/>
    <n v="2025"/>
    <x v="3"/>
  </r>
  <r>
    <n v="1335"/>
    <x v="216"/>
    <x v="13"/>
    <x v="2"/>
    <s v="Pfizer"/>
    <s v="Capsule"/>
    <s v="NA"/>
    <n v="5"/>
    <n v="35"/>
    <n v="50"/>
    <n v="5"/>
    <n v="12"/>
    <x v="0"/>
    <s v="Male"/>
    <n v="74"/>
    <s v="Mysuru"/>
    <x v="3"/>
    <x v="3"/>
    <s v="B1525"/>
    <d v="2027-04-03T00:00:00"/>
    <n v="250"/>
    <n v="175"/>
    <n v="75"/>
    <n v="0.3"/>
    <n v="2025"/>
    <x v="4"/>
  </r>
  <r>
    <n v="1340"/>
    <x v="266"/>
    <x v="0"/>
    <x v="0"/>
    <s v="GSK"/>
    <s v="Tablet"/>
    <s v="625 mg"/>
    <n v="5"/>
    <n v="140"/>
    <n v="180"/>
    <n v="10"/>
    <n v="12"/>
    <x v="0"/>
    <s v="Male"/>
    <n v="28"/>
    <s v="Tumakuru"/>
    <x v="1"/>
    <x v="4"/>
    <s v="B3064"/>
    <d v="2026-02-04T00:00:00"/>
    <n v="900"/>
    <n v="700"/>
    <n v="200"/>
    <n v="0.22222222222222221"/>
    <n v="2025"/>
    <x v="6"/>
  </r>
  <r>
    <n v="1349"/>
    <x v="230"/>
    <x v="1"/>
    <x v="1"/>
    <s v="Glenmark"/>
    <s v="Tablet"/>
    <s v="40 mg"/>
    <n v="5"/>
    <n v="75"/>
    <n v="100"/>
    <n v="0"/>
    <n v="12"/>
    <x v="0"/>
    <s v="Male"/>
    <n v="53"/>
    <s v="Mysuru"/>
    <x v="0"/>
    <x v="0"/>
    <s v="B9847"/>
    <d v="2027-03-21T00:00:00"/>
    <n v="500"/>
    <n v="375"/>
    <n v="125"/>
    <n v="0.25"/>
    <n v="2025"/>
    <x v="4"/>
  </r>
  <r>
    <n v="1352"/>
    <x v="204"/>
    <x v="7"/>
    <x v="5"/>
    <s v="Micro Labs"/>
    <s v="Tablet"/>
    <s v="650 mg"/>
    <n v="5"/>
    <n v="25"/>
    <n v="35"/>
    <n v="0"/>
    <n v="12"/>
    <x v="1"/>
    <s v="Female"/>
    <n v="35"/>
    <s v="Mysuru"/>
    <x v="1"/>
    <x v="2"/>
    <s v="B9376"/>
    <d v="2026-09-26T00:00:00"/>
    <n v="175"/>
    <n v="125"/>
    <n v="50"/>
    <n v="0.2857142857142857"/>
    <n v="2025"/>
    <x v="5"/>
  </r>
  <r>
    <n v="1358"/>
    <x v="203"/>
    <x v="7"/>
    <x v="5"/>
    <s v="Micro Labs"/>
    <s v="Tablet"/>
    <s v="650 mg"/>
    <n v="5"/>
    <n v="25"/>
    <n v="35"/>
    <n v="0"/>
    <n v="12"/>
    <x v="2"/>
    <s v="Female"/>
    <n v="36"/>
    <s v="Hubballi"/>
    <x v="4"/>
    <x v="1"/>
    <s v="B1243"/>
    <d v="2026-07-29T00:00:00"/>
    <n v="175"/>
    <n v="125"/>
    <n v="50"/>
    <n v="0.2857142857142857"/>
    <n v="2025"/>
    <x v="11"/>
  </r>
  <r>
    <n v="1359"/>
    <x v="267"/>
    <x v="9"/>
    <x v="7"/>
    <s v="Sun Pharma"/>
    <s v="Tablet"/>
    <s v="40 mg"/>
    <n v="5"/>
    <n v="60"/>
    <n v="85"/>
    <n v="10"/>
    <n v="12"/>
    <x v="2"/>
    <s v="Female"/>
    <n v="29"/>
    <s v="Hubballi"/>
    <x v="3"/>
    <x v="0"/>
    <s v="B4716"/>
    <d v="2027-10-17T00:00:00"/>
    <n v="425"/>
    <n v="300"/>
    <n v="125"/>
    <n v="0.29411764705882354"/>
    <n v="2025"/>
    <x v="10"/>
  </r>
  <r>
    <n v="1367"/>
    <x v="47"/>
    <x v="6"/>
    <x v="4"/>
    <s v="Torrent"/>
    <s v="Tablet"/>
    <s v="500 mg"/>
    <n v="5"/>
    <n v="80"/>
    <n v="110"/>
    <n v="5"/>
    <n v="12"/>
    <x v="0"/>
    <s v="Female"/>
    <n v="33"/>
    <s v="Mysuru"/>
    <x v="4"/>
    <x v="3"/>
    <s v="B8673"/>
    <d v="2026-01-08T00:00:00"/>
    <n v="550"/>
    <n v="400"/>
    <n v="150"/>
    <n v="0.27272727272727271"/>
    <n v="2025"/>
    <x v="8"/>
  </r>
  <r>
    <n v="1368"/>
    <x v="235"/>
    <x v="10"/>
    <x v="5"/>
    <s v="GSK"/>
    <s v="Tablet"/>
    <s v="500 mg"/>
    <n v="5"/>
    <n v="22"/>
    <n v="32"/>
    <n v="10"/>
    <n v="12"/>
    <x v="2"/>
    <s v="Female"/>
    <n v="24"/>
    <s v="Hubballi"/>
    <x v="3"/>
    <x v="0"/>
    <s v="B5139"/>
    <d v="2027-06-27T00:00:00"/>
    <n v="160"/>
    <n v="110"/>
    <n v="50"/>
    <n v="0.3125"/>
    <n v="2025"/>
    <x v="5"/>
  </r>
  <r>
    <n v="1377"/>
    <x v="268"/>
    <x v="8"/>
    <x v="6"/>
    <s v="USV"/>
    <s v="Tablet"/>
    <s v="500 mg"/>
    <n v="5"/>
    <n v="45"/>
    <n v="65"/>
    <n v="5"/>
    <n v="12"/>
    <x v="1"/>
    <s v="Male"/>
    <n v="55"/>
    <s v="Tumakuru"/>
    <x v="1"/>
    <x v="2"/>
    <s v="B3966"/>
    <d v="2026-11-19T00:00:00"/>
    <n v="325"/>
    <n v="225"/>
    <n v="100"/>
    <n v="0.30769230769230771"/>
    <n v="2025"/>
    <x v="4"/>
  </r>
  <r>
    <n v="1380"/>
    <x v="269"/>
    <x v="8"/>
    <x v="6"/>
    <s v="USV"/>
    <s v="Tablet"/>
    <s v="500 mg"/>
    <n v="5"/>
    <n v="45"/>
    <n v="65"/>
    <n v="10"/>
    <n v="12"/>
    <x v="1"/>
    <s v="Male"/>
    <n v="48"/>
    <s v="Mysuru"/>
    <x v="3"/>
    <x v="0"/>
    <s v="B7574"/>
    <d v="2027-05-22T00:00:00"/>
    <n v="325"/>
    <n v="225"/>
    <n v="100"/>
    <n v="0.30769230769230771"/>
    <n v="2025"/>
    <x v="6"/>
  </r>
  <r>
    <n v="1382"/>
    <x v="30"/>
    <x v="8"/>
    <x v="6"/>
    <s v="USV"/>
    <s v="Tablet"/>
    <s v="500 mg"/>
    <n v="5"/>
    <n v="45"/>
    <n v="65"/>
    <n v="0"/>
    <n v="12"/>
    <x v="1"/>
    <s v="Female"/>
    <n v="62"/>
    <s v="Tumakuru"/>
    <x v="2"/>
    <x v="3"/>
    <s v="B4248"/>
    <d v="2027-07-22T00:00:00"/>
    <n v="325"/>
    <n v="225"/>
    <n v="100"/>
    <n v="0.30769230769230771"/>
    <n v="2025"/>
    <x v="7"/>
  </r>
  <r>
    <n v="1386"/>
    <x v="68"/>
    <x v="2"/>
    <x v="2"/>
    <s v="Merck"/>
    <s v="Capsule"/>
    <s v="400 mg"/>
    <n v="5"/>
    <n v="25"/>
    <n v="38"/>
    <n v="10"/>
    <n v="12"/>
    <x v="0"/>
    <s v="Male"/>
    <n v="44"/>
    <s v="Hubballi"/>
    <x v="0"/>
    <x v="0"/>
    <s v="B7682"/>
    <d v="2027-03-26T00:00:00"/>
    <n v="190"/>
    <n v="125"/>
    <n v="65"/>
    <n v="0.34210526315789475"/>
    <n v="2025"/>
    <x v="5"/>
  </r>
  <r>
    <n v="1388"/>
    <x v="158"/>
    <x v="7"/>
    <x v="5"/>
    <s v="Micro Labs"/>
    <s v="Tablet"/>
    <s v="650 mg"/>
    <n v="5"/>
    <n v="25"/>
    <n v="35"/>
    <n v="10"/>
    <n v="12"/>
    <x v="2"/>
    <s v="Male"/>
    <n v="63"/>
    <s v="Hubballi"/>
    <x v="3"/>
    <x v="3"/>
    <s v="B6741"/>
    <d v="2025-09-20T00:00:00"/>
    <n v="175"/>
    <n v="125"/>
    <n v="50"/>
    <n v="0.2857142857142857"/>
    <n v="2025"/>
    <x v="3"/>
  </r>
  <r>
    <n v="1389"/>
    <x v="270"/>
    <x v="13"/>
    <x v="2"/>
    <s v="Pfizer"/>
    <s v="Capsule"/>
    <s v="NA"/>
    <n v="5"/>
    <n v="35"/>
    <n v="50"/>
    <n v="5"/>
    <n v="12"/>
    <x v="1"/>
    <s v="Female"/>
    <n v="44"/>
    <s v="Hubballi"/>
    <x v="4"/>
    <x v="4"/>
    <s v="B3098"/>
    <d v="2025-08-22T00:00:00"/>
    <n v="250"/>
    <n v="175"/>
    <n v="75"/>
    <n v="0.3"/>
    <n v="2025"/>
    <x v="9"/>
  </r>
  <r>
    <n v="1391"/>
    <x v="271"/>
    <x v="8"/>
    <x v="6"/>
    <s v="USV"/>
    <s v="Tablet"/>
    <s v="500 mg"/>
    <n v="5"/>
    <n v="45"/>
    <n v="65"/>
    <n v="0"/>
    <n v="12"/>
    <x v="0"/>
    <s v="Female"/>
    <n v="19"/>
    <s v="Tumakuru"/>
    <x v="0"/>
    <x v="1"/>
    <s v="B2071"/>
    <d v="2027-07-03T00:00:00"/>
    <n v="325"/>
    <n v="225"/>
    <n v="100"/>
    <n v="0.30769230769230771"/>
    <n v="2025"/>
    <x v="2"/>
  </r>
  <r>
    <n v="1392"/>
    <x v="272"/>
    <x v="8"/>
    <x v="6"/>
    <s v="USV"/>
    <s v="Tablet"/>
    <s v="500 mg"/>
    <n v="5"/>
    <n v="45"/>
    <n v="65"/>
    <n v="10"/>
    <n v="12"/>
    <x v="0"/>
    <s v="Male"/>
    <n v="31"/>
    <s v="Tumakuru"/>
    <x v="0"/>
    <x v="4"/>
    <s v="B4038"/>
    <d v="2026-01-10T00:00:00"/>
    <n v="325"/>
    <n v="225"/>
    <n v="100"/>
    <n v="0.30769230769230771"/>
    <n v="2025"/>
    <x v="1"/>
  </r>
  <r>
    <n v="1398"/>
    <x v="273"/>
    <x v="4"/>
    <x v="0"/>
    <s v="Cipla"/>
    <s v="Tablet"/>
    <s v="500 mg"/>
    <n v="5"/>
    <n v="90"/>
    <n v="120"/>
    <n v="5"/>
    <n v="12"/>
    <x v="2"/>
    <s v="Male"/>
    <n v="43"/>
    <s v="Mysuru"/>
    <x v="3"/>
    <x v="2"/>
    <s v="B4580"/>
    <d v="2027-11-26T00:00:00"/>
    <n v="600"/>
    <n v="450"/>
    <n v="150"/>
    <n v="0.25"/>
    <n v="2025"/>
    <x v="2"/>
  </r>
  <r>
    <n v="1399"/>
    <x v="177"/>
    <x v="5"/>
    <x v="3"/>
    <s v="USV"/>
    <s v="Tablet"/>
    <s v="75 mg"/>
    <n v="5"/>
    <n v="12"/>
    <n v="20"/>
    <n v="0"/>
    <n v="12"/>
    <x v="2"/>
    <s v="Female"/>
    <n v="34"/>
    <s v="Mysuru"/>
    <x v="1"/>
    <x v="2"/>
    <s v="B1577"/>
    <d v="2028-05-26T00:00:00"/>
    <n v="100"/>
    <n v="60"/>
    <n v="40"/>
    <n v="0.4"/>
    <n v="2025"/>
    <x v="5"/>
  </r>
  <r>
    <n v="1413"/>
    <x v="109"/>
    <x v="3"/>
    <x v="2"/>
    <s v="Abbott"/>
    <s v="Tablet"/>
    <s v="500 mg"/>
    <n v="5"/>
    <n v="18"/>
    <n v="28"/>
    <n v="5"/>
    <n v="12"/>
    <x v="2"/>
    <s v="Male"/>
    <n v="52"/>
    <s v="Hubballi"/>
    <x v="2"/>
    <x v="2"/>
    <s v="B2029"/>
    <d v="2026-07-11T00:00:00"/>
    <n v="140"/>
    <n v="90"/>
    <n v="50"/>
    <n v="0.35714285714285715"/>
    <n v="2025"/>
    <x v="10"/>
  </r>
  <r>
    <n v="1414"/>
    <x v="204"/>
    <x v="12"/>
    <x v="7"/>
    <s v="Alkem"/>
    <s v="Capsule"/>
    <s v="40 mg"/>
    <n v="5"/>
    <n v="70"/>
    <n v="95"/>
    <n v="10"/>
    <n v="12"/>
    <x v="0"/>
    <s v="Male"/>
    <n v="68"/>
    <s v="Mysuru"/>
    <x v="3"/>
    <x v="4"/>
    <s v="B3310"/>
    <d v="2026-10-20T00:00:00"/>
    <n v="475"/>
    <n v="350"/>
    <n v="125"/>
    <n v="0.26315789473684209"/>
    <n v="2025"/>
    <x v="5"/>
  </r>
  <r>
    <n v="1417"/>
    <x v="274"/>
    <x v="13"/>
    <x v="2"/>
    <s v="Pfizer"/>
    <s v="Capsule"/>
    <s v="NA"/>
    <n v="5"/>
    <n v="35"/>
    <n v="50"/>
    <n v="5"/>
    <n v="12"/>
    <x v="0"/>
    <s v="Male"/>
    <n v="56"/>
    <s v="Hubballi"/>
    <x v="0"/>
    <x v="0"/>
    <s v="B8319"/>
    <d v="2028-03-07T00:00:00"/>
    <n v="250"/>
    <n v="175"/>
    <n v="75"/>
    <n v="0.3"/>
    <n v="2025"/>
    <x v="5"/>
  </r>
  <r>
    <n v="1423"/>
    <x v="275"/>
    <x v="5"/>
    <x v="3"/>
    <s v="USV"/>
    <s v="Tablet"/>
    <s v="75 mg"/>
    <n v="5"/>
    <n v="12"/>
    <n v="20"/>
    <n v="5"/>
    <n v="12"/>
    <x v="2"/>
    <s v="Female"/>
    <n v="70"/>
    <s v="Tumakuru"/>
    <x v="2"/>
    <x v="0"/>
    <s v="B7249"/>
    <d v="2026-11-12T00:00:00"/>
    <n v="100"/>
    <n v="60"/>
    <n v="40"/>
    <n v="0.4"/>
    <n v="2025"/>
    <x v="3"/>
  </r>
  <r>
    <n v="1431"/>
    <x v="192"/>
    <x v="5"/>
    <x v="3"/>
    <s v="USV"/>
    <s v="Tablet"/>
    <s v="75 mg"/>
    <n v="5"/>
    <n v="12"/>
    <n v="20"/>
    <n v="0"/>
    <n v="12"/>
    <x v="2"/>
    <s v="Female"/>
    <n v="55"/>
    <s v="Mysuru"/>
    <x v="0"/>
    <x v="1"/>
    <s v="B7133"/>
    <d v="2027-02-23T00:00:00"/>
    <n v="100"/>
    <n v="60"/>
    <n v="40"/>
    <n v="0.4"/>
    <n v="2025"/>
    <x v="10"/>
  </r>
  <r>
    <n v="1433"/>
    <x v="239"/>
    <x v="9"/>
    <x v="7"/>
    <s v="Sun Pharma"/>
    <s v="Tablet"/>
    <s v="40 mg"/>
    <n v="5"/>
    <n v="60"/>
    <n v="85"/>
    <n v="0"/>
    <n v="12"/>
    <x v="0"/>
    <s v="Male"/>
    <n v="28"/>
    <s v="Mysuru"/>
    <x v="0"/>
    <x v="3"/>
    <s v="B1159"/>
    <d v="2026-12-26T00:00:00"/>
    <n v="425"/>
    <n v="300"/>
    <n v="125"/>
    <n v="0.29411764705882354"/>
    <n v="2025"/>
    <x v="11"/>
  </r>
  <r>
    <n v="1435"/>
    <x v="276"/>
    <x v="0"/>
    <x v="0"/>
    <s v="GSK"/>
    <s v="Tablet"/>
    <s v="625 mg"/>
    <n v="5"/>
    <n v="140"/>
    <n v="180"/>
    <n v="10"/>
    <n v="12"/>
    <x v="1"/>
    <s v="Female"/>
    <n v="70"/>
    <s v="Hubballi"/>
    <x v="2"/>
    <x v="0"/>
    <s v="B9242"/>
    <d v="2027-05-11T00:00:00"/>
    <n v="900"/>
    <n v="700"/>
    <n v="200"/>
    <n v="0.22222222222222221"/>
    <n v="2025"/>
    <x v="3"/>
  </r>
  <r>
    <n v="1437"/>
    <x v="115"/>
    <x v="1"/>
    <x v="1"/>
    <s v="Glenmark"/>
    <s v="Tablet"/>
    <s v="40 mg"/>
    <n v="5"/>
    <n v="75"/>
    <n v="100"/>
    <n v="10"/>
    <n v="12"/>
    <x v="2"/>
    <s v="Male"/>
    <n v="29"/>
    <s v="Bengaluru"/>
    <x v="3"/>
    <x v="0"/>
    <s v="B2179"/>
    <d v="2026-02-16T00:00:00"/>
    <n v="500"/>
    <n v="375"/>
    <n v="125"/>
    <n v="0.25"/>
    <n v="2025"/>
    <x v="9"/>
  </r>
  <r>
    <n v="1439"/>
    <x v="267"/>
    <x v="8"/>
    <x v="6"/>
    <s v="USV"/>
    <s v="Tablet"/>
    <s v="500 mg"/>
    <n v="5"/>
    <n v="45"/>
    <n v="65"/>
    <n v="0"/>
    <n v="12"/>
    <x v="2"/>
    <s v="Male"/>
    <n v="68"/>
    <s v="Tumakuru"/>
    <x v="1"/>
    <x v="0"/>
    <s v="B7021"/>
    <d v="2027-03-14T00:00:00"/>
    <n v="325"/>
    <n v="225"/>
    <n v="100"/>
    <n v="0.30769230769230771"/>
    <n v="2025"/>
    <x v="10"/>
  </r>
  <r>
    <n v="1447"/>
    <x v="71"/>
    <x v="14"/>
    <x v="5"/>
    <s v="GSK"/>
    <s v="Tablet"/>
    <s v="650 mg"/>
    <n v="5"/>
    <n v="24"/>
    <n v="34"/>
    <n v="0"/>
    <n v="12"/>
    <x v="0"/>
    <s v="Female"/>
    <n v="70"/>
    <s v="Mysuru"/>
    <x v="2"/>
    <x v="2"/>
    <s v="B5173"/>
    <d v="2027-02-09T00:00:00"/>
    <n v="170"/>
    <n v="120"/>
    <n v="50"/>
    <n v="0.29411764705882354"/>
    <n v="2025"/>
    <x v="3"/>
  </r>
  <r>
    <n v="1453"/>
    <x v="46"/>
    <x v="10"/>
    <x v="5"/>
    <s v="GSK"/>
    <s v="Tablet"/>
    <s v="500 mg"/>
    <n v="5"/>
    <n v="22"/>
    <n v="32"/>
    <n v="0"/>
    <n v="12"/>
    <x v="0"/>
    <s v="Female"/>
    <n v="30"/>
    <s v="Tumakuru"/>
    <x v="4"/>
    <x v="1"/>
    <s v="B3900"/>
    <d v="2026-08-09T00:00:00"/>
    <n v="160"/>
    <n v="110"/>
    <n v="50"/>
    <n v="0.3125"/>
    <n v="2025"/>
    <x v="8"/>
  </r>
  <r>
    <n v="1475"/>
    <x v="228"/>
    <x v="3"/>
    <x v="2"/>
    <s v="Abbott"/>
    <s v="Tablet"/>
    <s v="500 mg"/>
    <n v="5"/>
    <n v="18"/>
    <n v="28"/>
    <n v="5"/>
    <n v="12"/>
    <x v="1"/>
    <s v="Male"/>
    <n v="41"/>
    <s v="Bengaluru"/>
    <x v="2"/>
    <x v="2"/>
    <s v="B1266"/>
    <d v="2027-10-06T00:00:00"/>
    <n v="140"/>
    <n v="90"/>
    <n v="50"/>
    <n v="0.35714285714285715"/>
    <n v="2025"/>
    <x v="7"/>
  </r>
  <r>
    <n v="1493"/>
    <x v="102"/>
    <x v="2"/>
    <x v="2"/>
    <s v="Merck"/>
    <s v="Capsule"/>
    <s v="400 mg"/>
    <n v="5"/>
    <n v="25"/>
    <n v="38"/>
    <n v="5"/>
    <n v="12"/>
    <x v="2"/>
    <s v="Female"/>
    <n v="55"/>
    <s v="Tumakuru"/>
    <x v="0"/>
    <x v="1"/>
    <s v="B4048"/>
    <d v="2027-03-22T00:00:00"/>
    <n v="190"/>
    <n v="125"/>
    <n v="65"/>
    <n v="0.34210526315789475"/>
    <n v="2025"/>
    <x v="3"/>
  </r>
  <r>
    <n v="1495"/>
    <x v="105"/>
    <x v="7"/>
    <x v="5"/>
    <s v="Micro Labs"/>
    <s v="Tablet"/>
    <s v="650 mg"/>
    <n v="5"/>
    <n v="25"/>
    <n v="35"/>
    <n v="0"/>
    <n v="12"/>
    <x v="2"/>
    <s v="Female"/>
    <n v="30"/>
    <s v="Tumakuru"/>
    <x v="1"/>
    <x v="2"/>
    <s v="B1280"/>
    <d v="2027-02-28T00:00:00"/>
    <n v="175"/>
    <n v="125"/>
    <n v="50"/>
    <n v="0.2857142857142857"/>
    <n v="2025"/>
    <x v="5"/>
  </r>
  <r>
    <n v="1497"/>
    <x v="273"/>
    <x v="12"/>
    <x v="7"/>
    <s v="Alkem"/>
    <s v="Capsule"/>
    <s v="40 mg"/>
    <n v="5"/>
    <n v="70"/>
    <n v="95"/>
    <n v="5"/>
    <n v="12"/>
    <x v="1"/>
    <s v="Female"/>
    <n v="19"/>
    <s v="Mysuru"/>
    <x v="0"/>
    <x v="1"/>
    <s v="B4999"/>
    <d v="2026-10-13T00:00:00"/>
    <n v="475"/>
    <n v="350"/>
    <n v="125"/>
    <n v="0.26315789473684209"/>
    <n v="2025"/>
    <x v="2"/>
  </r>
  <r>
    <n v="1498"/>
    <x v="9"/>
    <x v="8"/>
    <x v="6"/>
    <s v="USV"/>
    <s v="Tablet"/>
    <s v="500 mg"/>
    <n v="5"/>
    <n v="45"/>
    <n v="65"/>
    <n v="0"/>
    <n v="12"/>
    <x v="0"/>
    <s v="Female"/>
    <n v="73"/>
    <s v="Bengaluru"/>
    <x v="3"/>
    <x v="4"/>
    <s v="B2067"/>
    <d v="2026-07-22T00:00:00"/>
    <n v="325"/>
    <n v="225"/>
    <n v="100"/>
    <n v="0.30769230769230771"/>
    <n v="2025"/>
    <x v="5"/>
  </r>
  <r>
    <n v="1500"/>
    <x v="50"/>
    <x v="14"/>
    <x v="5"/>
    <s v="GSK"/>
    <s v="Tablet"/>
    <s v="650 mg"/>
    <n v="5"/>
    <n v="24"/>
    <n v="34"/>
    <n v="0"/>
    <n v="12"/>
    <x v="1"/>
    <s v="Male"/>
    <n v="58"/>
    <s v="Tumakuru"/>
    <x v="4"/>
    <x v="3"/>
    <s v="B2225"/>
    <d v="2025-09-04T00:00:00"/>
    <n v="170"/>
    <n v="120"/>
    <n v="50"/>
    <n v="0.29411764705882354"/>
    <n v="2025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78B66-8261-4738-963B-2E41F43543DC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22:B32" firstHeaderRow="1" firstDataRow="1" firstDataCol="1"/>
  <pivotFields count="28">
    <pivotField numFmtId="1" showAll="0"/>
    <pivotField numFmtId="14" showAll="0">
      <items count="278">
        <item x="263"/>
        <item x="23"/>
        <item x="128"/>
        <item x="136"/>
        <item x="27"/>
        <item x="75"/>
        <item x="18"/>
        <item x="115"/>
        <item x="214"/>
        <item x="265"/>
        <item x="31"/>
        <item x="223"/>
        <item x="35"/>
        <item x="60"/>
        <item x="270"/>
        <item x="92"/>
        <item x="112"/>
        <item x="260"/>
        <item x="240"/>
        <item x="244"/>
        <item x="132"/>
        <item x="116"/>
        <item x="81"/>
        <item x="193"/>
        <item x="125"/>
        <item x="173"/>
        <item x="275"/>
        <item x="90"/>
        <item x="36"/>
        <item x="162"/>
        <item x="234"/>
        <item x="42"/>
        <item x="54"/>
        <item x="225"/>
        <item x="211"/>
        <item x="134"/>
        <item x="86"/>
        <item x="102"/>
        <item x="158"/>
        <item x="16"/>
        <item x="71"/>
        <item x="180"/>
        <item x="246"/>
        <item x="276"/>
        <item x="4"/>
        <item x="93"/>
        <item x="221"/>
        <item x="50"/>
        <item x="229"/>
        <item x="236"/>
        <item x="149"/>
        <item x="96"/>
        <item x="107"/>
        <item x="155"/>
        <item x="124"/>
        <item x="262"/>
        <item x="52"/>
        <item x="172"/>
        <item x="33"/>
        <item x="37"/>
        <item x="146"/>
        <item x="46"/>
        <item x="88"/>
        <item x="47"/>
        <item x="142"/>
        <item x="127"/>
        <item x="26"/>
        <item x="210"/>
        <item x="17"/>
        <item x="178"/>
        <item x="171"/>
        <item x="237"/>
        <item x="95"/>
        <item x="272"/>
        <item x="104"/>
        <item x="232"/>
        <item x="145"/>
        <item x="168"/>
        <item x="170"/>
        <item x="19"/>
        <item x="97"/>
        <item x="49"/>
        <item x="51"/>
        <item x="1"/>
        <item x="87"/>
        <item x="12"/>
        <item x="57"/>
        <item x="106"/>
        <item x="15"/>
        <item x="44"/>
        <item x="200"/>
        <item x="14"/>
        <item x="131"/>
        <item x="91"/>
        <item x="245"/>
        <item x="69"/>
        <item x="253"/>
        <item x="30"/>
        <item x="226"/>
        <item x="174"/>
        <item x="228"/>
        <item x="135"/>
        <item x="161"/>
        <item x="29"/>
        <item x="25"/>
        <item x="67"/>
        <item x="194"/>
        <item x="175"/>
        <item x="196"/>
        <item x="118"/>
        <item x="99"/>
        <item x="111"/>
        <item x="248"/>
        <item x="213"/>
        <item x="227"/>
        <item x="28"/>
        <item x="59"/>
        <item x="53"/>
        <item x="143"/>
        <item x="217"/>
        <item x="181"/>
        <item x="94"/>
        <item x="61"/>
        <item x="119"/>
        <item x="269"/>
        <item x="150"/>
        <item x="257"/>
        <item x="21"/>
        <item x="266"/>
        <item x="249"/>
        <item x="242"/>
        <item x="10"/>
        <item x="233"/>
        <item x="117"/>
        <item x="184"/>
        <item x="2"/>
        <item x="43"/>
        <item x="258"/>
        <item x="182"/>
        <item x="207"/>
        <item x="24"/>
        <item x="126"/>
        <item x="241"/>
        <item x="20"/>
        <item x="6"/>
        <item x="114"/>
        <item x="0"/>
        <item x="11"/>
        <item x="98"/>
        <item x="130"/>
        <item x="251"/>
        <item x="179"/>
        <item x="84"/>
        <item x="78"/>
        <item x="167"/>
        <item x="144"/>
        <item x="8"/>
        <item x="113"/>
        <item x="250"/>
        <item x="32"/>
        <item x="195"/>
        <item x="55"/>
        <item x="189"/>
        <item x="70"/>
        <item x="147"/>
        <item x="247"/>
        <item x="186"/>
        <item x="45"/>
        <item x="76"/>
        <item x="38"/>
        <item x="215"/>
        <item x="208"/>
        <item x="185"/>
        <item x="239"/>
        <item x="202"/>
        <item x="197"/>
        <item x="205"/>
        <item x="82"/>
        <item x="256"/>
        <item x="103"/>
        <item x="187"/>
        <item x="141"/>
        <item x="203"/>
        <item x="159"/>
        <item x="77"/>
        <item x="138"/>
        <item x="271"/>
        <item x="66"/>
        <item x="72"/>
        <item x="163"/>
        <item x="41"/>
        <item x="148"/>
        <item x="13"/>
        <item x="157"/>
        <item x="273"/>
        <item x="65"/>
        <item x="85"/>
        <item x="252"/>
        <item x="121"/>
        <item x="83"/>
        <item x="190"/>
        <item x="3"/>
        <item x="123"/>
        <item x="153"/>
        <item x="165"/>
        <item x="254"/>
        <item x="206"/>
        <item x="259"/>
        <item x="199"/>
        <item x="63"/>
        <item x="74"/>
        <item x="268"/>
        <item x="264"/>
        <item x="5"/>
        <item x="137"/>
        <item x="230"/>
        <item x="101"/>
        <item x="7"/>
        <item x="110"/>
        <item x="129"/>
        <item x="231"/>
        <item x="58"/>
        <item x="80"/>
        <item x="64"/>
        <item x="188"/>
        <item x="120"/>
        <item x="216"/>
        <item x="164"/>
        <item x="56"/>
        <item x="154"/>
        <item x="218"/>
        <item x="140"/>
        <item x="209"/>
        <item x="39"/>
        <item x="198"/>
        <item x="192"/>
        <item x="267"/>
        <item x="222"/>
        <item x="109"/>
        <item x="156"/>
        <item x="176"/>
        <item x="108"/>
        <item x="191"/>
        <item x="40"/>
        <item x="22"/>
        <item x="100"/>
        <item x="220"/>
        <item x="152"/>
        <item x="122"/>
        <item x="62"/>
        <item x="48"/>
        <item x="133"/>
        <item x="9"/>
        <item x="68"/>
        <item x="224"/>
        <item x="235"/>
        <item x="73"/>
        <item x="139"/>
        <item x="201"/>
        <item x="204"/>
        <item x="183"/>
        <item x="79"/>
        <item x="151"/>
        <item x="160"/>
        <item x="238"/>
        <item x="212"/>
        <item x="261"/>
        <item x="105"/>
        <item x="89"/>
        <item x="34"/>
        <item x="255"/>
        <item x="177"/>
        <item x="169"/>
        <item x="243"/>
        <item x="274"/>
        <item x="166"/>
        <item x="219"/>
        <item t="default"/>
      </items>
    </pivotField>
    <pivotField showAll="0"/>
    <pivotField axis="axisRow" showAll="0">
      <items count="10">
        <item x="8"/>
        <item x="0"/>
        <item x="1"/>
        <item x="4"/>
        <item x="6"/>
        <item x="7"/>
        <item x="3"/>
        <item x="5"/>
        <item x="2"/>
        <item t="default"/>
      </items>
    </pivotField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numFmtId="10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22037-0D65-4BB3-BE67-823886337882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LIER">
  <location ref="L23:M29" firstHeaderRow="1" firstDataRow="1" firstDataCol="1"/>
  <pivotFields count="28">
    <pivotField numFmtId="1" showAll="0"/>
    <pivotField numFmtId="14" showAll="0">
      <items count="278">
        <item x="263"/>
        <item x="23"/>
        <item x="128"/>
        <item x="136"/>
        <item x="27"/>
        <item x="75"/>
        <item x="18"/>
        <item x="115"/>
        <item x="214"/>
        <item x="265"/>
        <item x="31"/>
        <item x="223"/>
        <item x="35"/>
        <item x="60"/>
        <item x="270"/>
        <item x="92"/>
        <item x="112"/>
        <item x="260"/>
        <item x="240"/>
        <item x="244"/>
        <item x="132"/>
        <item x="116"/>
        <item x="81"/>
        <item x="193"/>
        <item x="125"/>
        <item x="173"/>
        <item x="275"/>
        <item x="90"/>
        <item x="36"/>
        <item x="162"/>
        <item x="234"/>
        <item x="42"/>
        <item x="54"/>
        <item x="225"/>
        <item x="211"/>
        <item x="134"/>
        <item x="86"/>
        <item x="102"/>
        <item x="158"/>
        <item x="16"/>
        <item x="71"/>
        <item x="180"/>
        <item x="246"/>
        <item x="276"/>
        <item x="4"/>
        <item x="93"/>
        <item x="221"/>
        <item x="50"/>
        <item x="229"/>
        <item x="236"/>
        <item x="149"/>
        <item x="96"/>
        <item x="107"/>
        <item x="155"/>
        <item x="124"/>
        <item x="262"/>
        <item x="52"/>
        <item x="172"/>
        <item x="33"/>
        <item x="37"/>
        <item x="146"/>
        <item x="46"/>
        <item x="88"/>
        <item x="47"/>
        <item x="142"/>
        <item x="127"/>
        <item x="26"/>
        <item x="210"/>
        <item x="17"/>
        <item x="178"/>
        <item x="171"/>
        <item x="237"/>
        <item x="95"/>
        <item x="272"/>
        <item x="104"/>
        <item x="232"/>
        <item x="145"/>
        <item x="168"/>
        <item x="170"/>
        <item x="19"/>
        <item x="97"/>
        <item x="49"/>
        <item x="51"/>
        <item x="1"/>
        <item x="87"/>
        <item x="12"/>
        <item x="57"/>
        <item x="106"/>
        <item x="15"/>
        <item x="44"/>
        <item x="200"/>
        <item x="14"/>
        <item x="131"/>
        <item x="91"/>
        <item x="245"/>
        <item x="69"/>
        <item x="253"/>
        <item x="30"/>
        <item x="226"/>
        <item x="174"/>
        <item x="228"/>
        <item x="135"/>
        <item x="161"/>
        <item x="29"/>
        <item x="25"/>
        <item x="67"/>
        <item x="194"/>
        <item x="175"/>
        <item x="196"/>
        <item x="118"/>
        <item x="99"/>
        <item x="111"/>
        <item x="248"/>
        <item x="213"/>
        <item x="227"/>
        <item x="28"/>
        <item x="59"/>
        <item x="53"/>
        <item x="143"/>
        <item x="217"/>
        <item x="181"/>
        <item x="94"/>
        <item x="61"/>
        <item x="119"/>
        <item x="269"/>
        <item x="150"/>
        <item x="257"/>
        <item x="21"/>
        <item x="266"/>
        <item x="249"/>
        <item x="242"/>
        <item x="10"/>
        <item x="233"/>
        <item x="117"/>
        <item x="184"/>
        <item x="2"/>
        <item x="43"/>
        <item x="258"/>
        <item x="182"/>
        <item x="207"/>
        <item x="24"/>
        <item x="126"/>
        <item x="241"/>
        <item x="20"/>
        <item x="6"/>
        <item x="114"/>
        <item x="0"/>
        <item x="11"/>
        <item x="98"/>
        <item x="130"/>
        <item x="251"/>
        <item x="179"/>
        <item x="84"/>
        <item x="78"/>
        <item x="167"/>
        <item x="144"/>
        <item x="8"/>
        <item x="113"/>
        <item x="250"/>
        <item x="32"/>
        <item x="195"/>
        <item x="55"/>
        <item x="189"/>
        <item x="70"/>
        <item x="147"/>
        <item x="247"/>
        <item x="186"/>
        <item x="45"/>
        <item x="76"/>
        <item x="38"/>
        <item x="215"/>
        <item x="208"/>
        <item x="185"/>
        <item x="239"/>
        <item x="202"/>
        <item x="197"/>
        <item x="205"/>
        <item x="82"/>
        <item x="256"/>
        <item x="103"/>
        <item x="187"/>
        <item x="141"/>
        <item x="203"/>
        <item x="159"/>
        <item x="77"/>
        <item x="138"/>
        <item x="271"/>
        <item x="66"/>
        <item x="72"/>
        <item x="163"/>
        <item x="41"/>
        <item x="148"/>
        <item x="13"/>
        <item x="157"/>
        <item x="273"/>
        <item x="65"/>
        <item x="85"/>
        <item x="252"/>
        <item x="121"/>
        <item x="83"/>
        <item x="190"/>
        <item x="3"/>
        <item x="123"/>
        <item x="153"/>
        <item x="165"/>
        <item x="254"/>
        <item x="206"/>
        <item x="259"/>
        <item x="199"/>
        <item x="63"/>
        <item x="74"/>
        <item x="268"/>
        <item x="264"/>
        <item x="5"/>
        <item x="137"/>
        <item x="230"/>
        <item x="101"/>
        <item x="7"/>
        <item x="110"/>
        <item x="129"/>
        <item x="231"/>
        <item x="58"/>
        <item x="80"/>
        <item x="64"/>
        <item x="188"/>
        <item x="120"/>
        <item x="216"/>
        <item x="164"/>
        <item x="56"/>
        <item x="154"/>
        <item x="218"/>
        <item x="140"/>
        <item x="209"/>
        <item x="39"/>
        <item x="198"/>
        <item x="192"/>
        <item x="267"/>
        <item x="222"/>
        <item x="109"/>
        <item x="156"/>
        <item x="176"/>
        <item x="108"/>
        <item x="191"/>
        <item x="40"/>
        <item x="22"/>
        <item x="100"/>
        <item x="220"/>
        <item x="152"/>
        <item x="122"/>
        <item x="62"/>
        <item x="48"/>
        <item x="133"/>
        <item x="9"/>
        <item x="68"/>
        <item x="224"/>
        <item x="235"/>
        <item x="73"/>
        <item x="139"/>
        <item x="201"/>
        <item x="204"/>
        <item x="183"/>
        <item x="79"/>
        <item x="151"/>
        <item x="160"/>
        <item x="238"/>
        <item x="212"/>
        <item x="261"/>
        <item x="105"/>
        <item x="89"/>
        <item x="34"/>
        <item x="255"/>
        <item x="177"/>
        <item x="169"/>
        <item x="243"/>
        <item x="274"/>
        <item x="166"/>
        <item x="219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numFmtId="164" showAll="0"/>
    <pivotField dataField="1" showAll="0"/>
    <pivotField showAll="0"/>
    <pivotField showAll="0"/>
    <pivotField numFmtId="10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C40C5-39A7-4A3F-8DF0-A3AAFAA13EEF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">
  <location ref="L14:M20" firstHeaderRow="1" firstDataRow="1" firstDataCol="1"/>
  <pivotFields count="28">
    <pivotField numFmtId="1" showAll="0"/>
    <pivotField numFmtId="14" showAll="0">
      <items count="278">
        <item x="263"/>
        <item x="23"/>
        <item x="128"/>
        <item x="136"/>
        <item x="27"/>
        <item x="75"/>
        <item x="18"/>
        <item x="115"/>
        <item x="214"/>
        <item x="265"/>
        <item x="31"/>
        <item x="223"/>
        <item x="35"/>
        <item x="60"/>
        <item x="270"/>
        <item x="92"/>
        <item x="112"/>
        <item x="260"/>
        <item x="240"/>
        <item x="244"/>
        <item x="132"/>
        <item x="116"/>
        <item x="81"/>
        <item x="193"/>
        <item x="125"/>
        <item x="173"/>
        <item x="275"/>
        <item x="90"/>
        <item x="36"/>
        <item x="162"/>
        <item x="234"/>
        <item x="42"/>
        <item x="54"/>
        <item x="225"/>
        <item x="211"/>
        <item x="134"/>
        <item x="86"/>
        <item x="102"/>
        <item x="158"/>
        <item x="16"/>
        <item x="71"/>
        <item x="180"/>
        <item x="246"/>
        <item x="276"/>
        <item x="4"/>
        <item x="93"/>
        <item x="221"/>
        <item x="50"/>
        <item x="229"/>
        <item x="236"/>
        <item x="149"/>
        <item x="96"/>
        <item x="107"/>
        <item x="155"/>
        <item x="124"/>
        <item x="262"/>
        <item x="52"/>
        <item x="172"/>
        <item x="33"/>
        <item x="37"/>
        <item x="146"/>
        <item x="46"/>
        <item x="88"/>
        <item x="47"/>
        <item x="142"/>
        <item x="127"/>
        <item x="26"/>
        <item x="210"/>
        <item x="17"/>
        <item x="178"/>
        <item x="171"/>
        <item x="237"/>
        <item x="95"/>
        <item x="272"/>
        <item x="104"/>
        <item x="232"/>
        <item x="145"/>
        <item x="168"/>
        <item x="170"/>
        <item x="19"/>
        <item x="97"/>
        <item x="49"/>
        <item x="51"/>
        <item x="1"/>
        <item x="87"/>
        <item x="12"/>
        <item x="57"/>
        <item x="106"/>
        <item x="15"/>
        <item x="44"/>
        <item x="200"/>
        <item x="14"/>
        <item x="131"/>
        <item x="91"/>
        <item x="245"/>
        <item x="69"/>
        <item x="253"/>
        <item x="30"/>
        <item x="226"/>
        <item x="174"/>
        <item x="228"/>
        <item x="135"/>
        <item x="161"/>
        <item x="29"/>
        <item x="25"/>
        <item x="67"/>
        <item x="194"/>
        <item x="175"/>
        <item x="196"/>
        <item x="118"/>
        <item x="99"/>
        <item x="111"/>
        <item x="248"/>
        <item x="213"/>
        <item x="227"/>
        <item x="28"/>
        <item x="59"/>
        <item x="53"/>
        <item x="143"/>
        <item x="217"/>
        <item x="181"/>
        <item x="94"/>
        <item x="61"/>
        <item x="119"/>
        <item x="269"/>
        <item x="150"/>
        <item x="257"/>
        <item x="21"/>
        <item x="266"/>
        <item x="249"/>
        <item x="242"/>
        <item x="10"/>
        <item x="233"/>
        <item x="117"/>
        <item x="184"/>
        <item x="2"/>
        <item x="43"/>
        <item x="258"/>
        <item x="182"/>
        <item x="207"/>
        <item x="24"/>
        <item x="126"/>
        <item x="241"/>
        <item x="20"/>
        <item x="6"/>
        <item x="114"/>
        <item x="0"/>
        <item x="11"/>
        <item x="98"/>
        <item x="130"/>
        <item x="251"/>
        <item x="179"/>
        <item x="84"/>
        <item x="78"/>
        <item x="167"/>
        <item x="144"/>
        <item x="8"/>
        <item x="113"/>
        <item x="250"/>
        <item x="32"/>
        <item x="195"/>
        <item x="55"/>
        <item x="189"/>
        <item x="70"/>
        <item x="147"/>
        <item x="247"/>
        <item x="186"/>
        <item x="45"/>
        <item x="76"/>
        <item x="38"/>
        <item x="215"/>
        <item x="208"/>
        <item x="185"/>
        <item x="239"/>
        <item x="202"/>
        <item x="197"/>
        <item x="205"/>
        <item x="82"/>
        <item x="256"/>
        <item x="103"/>
        <item x="187"/>
        <item x="141"/>
        <item x="203"/>
        <item x="159"/>
        <item x="77"/>
        <item x="138"/>
        <item x="271"/>
        <item x="66"/>
        <item x="72"/>
        <item x="163"/>
        <item x="41"/>
        <item x="148"/>
        <item x="13"/>
        <item x="157"/>
        <item x="273"/>
        <item x="65"/>
        <item x="85"/>
        <item x="252"/>
        <item x="121"/>
        <item x="83"/>
        <item x="190"/>
        <item x="3"/>
        <item x="123"/>
        <item x="153"/>
        <item x="165"/>
        <item x="254"/>
        <item x="206"/>
        <item x="259"/>
        <item x="199"/>
        <item x="63"/>
        <item x="74"/>
        <item x="268"/>
        <item x="264"/>
        <item x="5"/>
        <item x="137"/>
        <item x="230"/>
        <item x="101"/>
        <item x="7"/>
        <item x="110"/>
        <item x="129"/>
        <item x="231"/>
        <item x="58"/>
        <item x="80"/>
        <item x="64"/>
        <item x="188"/>
        <item x="120"/>
        <item x="216"/>
        <item x="164"/>
        <item x="56"/>
        <item x="154"/>
        <item x="218"/>
        <item x="140"/>
        <item x="209"/>
        <item x="39"/>
        <item x="198"/>
        <item x="192"/>
        <item x="267"/>
        <item x="222"/>
        <item x="109"/>
        <item x="156"/>
        <item x="176"/>
        <item x="108"/>
        <item x="191"/>
        <item x="40"/>
        <item x="22"/>
        <item x="100"/>
        <item x="220"/>
        <item x="152"/>
        <item x="122"/>
        <item x="62"/>
        <item x="48"/>
        <item x="133"/>
        <item x="9"/>
        <item x="68"/>
        <item x="224"/>
        <item x="235"/>
        <item x="73"/>
        <item x="139"/>
        <item x="201"/>
        <item x="204"/>
        <item x="183"/>
        <item x="79"/>
        <item x="151"/>
        <item x="160"/>
        <item x="238"/>
        <item x="212"/>
        <item x="261"/>
        <item x="105"/>
        <item x="89"/>
        <item x="34"/>
        <item x="255"/>
        <item x="177"/>
        <item x="169"/>
        <item x="243"/>
        <item x="274"/>
        <item x="166"/>
        <item x="219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numFmtId="164" showAll="0"/>
    <pivotField dataField="1" showAll="0"/>
    <pivotField showAll="0"/>
    <pivotField showAll="0"/>
    <pivotField numFmtId="10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8D337-BE31-434B-BD7C-03A908BC42F4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ODE">
  <location ref="K4:L8" firstHeaderRow="1" firstDataRow="1" firstDataCol="1"/>
  <pivotFields count="28">
    <pivotField numFmtId="1" showAll="0"/>
    <pivotField numFmtId="14" showAll="0">
      <items count="278">
        <item x="263"/>
        <item x="23"/>
        <item x="128"/>
        <item x="136"/>
        <item x="27"/>
        <item x="75"/>
        <item x="18"/>
        <item x="115"/>
        <item x="214"/>
        <item x="265"/>
        <item x="31"/>
        <item x="223"/>
        <item x="35"/>
        <item x="60"/>
        <item x="270"/>
        <item x="92"/>
        <item x="112"/>
        <item x="260"/>
        <item x="240"/>
        <item x="244"/>
        <item x="132"/>
        <item x="116"/>
        <item x="81"/>
        <item x="193"/>
        <item x="125"/>
        <item x="173"/>
        <item x="275"/>
        <item x="90"/>
        <item x="36"/>
        <item x="162"/>
        <item x="234"/>
        <item x="42"/>
        <item x="54"/>
        <item x="225"/>
        <item x="211"/>
        <item x="134"/>
        <item x="86"/>
        <item x="102"/>
        <item x="158"/>
        <item x="16"/>
        <item x="71"/>
        <item x="180"/>
        <item x="246"/>
        <item x="276"/>
        <item x="4"/>
        <item x="93"/>
        <item x="221"/>
        <item x="50"/>
        <item x="229"/>
        <item x="236"/>
        <item x="149"/>
        <item x="96"/>
        <item x="107"/>
        <item x="155"/>
        <item x="124"/>
        <item x="262"/>
        <item x="52"/>
        <item x="172"/>
        <item x="33"/>
        <item x="37"/>
        <item x="146"/>
        <item x="46"/>
        <item x="88"/>
        <item x="47"/>
        <item x="142"/>
        <item x="127"/>
        <item x="26"/>
        <item x="210"/>
        <item x="17"/>
        <item x="178"/>
        <item x="171"/>
        <item x="237"/>
        <item x="95"/>
        <item x="272"/>
        <item x="104"/>
        <item x="232"/>
        <item x="145"/>
        <item x="168"/>
        <item x="170"/>
        <item x="19"/>
        <item x="97"/>
        <item x="49"/>
        <item x="51"/>
        <item x="1"/>
        <item x="87"/>
        <item x="12"/>
        <item x="57"/>
        <item x="106"/>
        <item x="15"/>
        <item x="44"/>
        <item x="200"/>
        <item x="14"/>
        <item x="131"/>
        <item x="91"/>
        <item x="245"/>
        <item x="69"/>
        <item x="253"/>
        <item x="30"/>
        <item x="226"/>
        <item x="174"/>
        <item x="228"/>
        <item x="135"/>
        <item x="161"/>
        <item x="29"/>
        <item x="25"/>
        <item x="67"/>
        <item x="194"/>
        <item x="175"/>
        <item x="196"/>
        <item x="118"/>
        <item x="99"/>
        <item x="111"/>
        <item x="248"/>
        <item x="213"/>
        <item x="227"/>
        <item x="28"/>
        <item x="59"/>
        <item x="53"/>
        <item x="143"/>
        <item x="217"/>
        <item x="181"/>
        <item x="94"/>
        <item x="61"/>
        <item x="119"/>
        <item x="269"/>
        <item x="150"/>
        <item x="257"/>
        <item x="21"/>
        <item x="266"/>
        <item x="249"/>
        <item x="242"/>
        <item x="10"/>
        <item x="233"/>
        <item x="117"/>
        <item x="184"/>
        <item x="2"/>
        <item x="43"/>
        <item x="258"/>
        <item x="182"/>
        <item x="207"/>
        <item x="24"/>
        <item x="126"/>
        <item x="241"/>
        <item x="20"/>
        <item x="6"/>
        <item x="114"/>
        <item x="0"/>
        <item x="11"/>
        <item x="98"/>
        <item x="130"/>
        <item x="251"/>
        <item x="179"/>
        <item x="84"/>
        <item x="78"/>
        <item x="167"/>
        <item x="144"/>
        <item x="8"/>
        <item x="113"/>
        <item x="250"/>
        <item x="32"/>
        <item x="195"/>
        <item x="55"/>
        <item x="189"/>
        <item x="70"/>
        <item x="147"/>
        <item x="247"/>
        <item x="186"/>
        <item x="45"/>
        <item x="76"/>
        <item x="38"/>
        <item x="215"/>
        <item x="208"/>
        <item x="185"/>
        <item x="239"/>
        <item x="202"/>
        <item x="197"/>
        <item x="205"/>
        <item x="82"/>
        <item x="256"/>
        <item x="103"/>
        <item x="187"/>
        <item x="141"/>
        <item x="203"/>
        <item x="159"/>
        <item x="77"/>
        <item x="138"/>
        <item x="271"/>
        <item x="66"/>
        <item x="72"/>
        <item x="163"/>
        <item x="41"/>
        <item x="148"/>
        <item x="13"/>
        <item x="157"/>
        <item x="273"/>
        <item x="65"/>
        <item x="85"/>
        <item x="252"/>
        <item x="121"/>
        <item x="83"/>
        <item x="190"/>
        <item x="3"/>
        <item x="123"/>
        <item x="153"/>
        <item x="165"/>
        <item x="254"/>
        <item x="206"/>
        <item x="259"/>
        <item x="199"/>
        <item x="63"/>
        <item x="74"/>
        <item x="268"/>
        <item x="264"/>
        <item x="5"/>
        <item x="137"/>
        <item x="230"/>
        <item x="101"/>
        <item x="7"/>
        <item x="110"/>
        <item x="129"/>
        <item x="231"/>
        <item x="58"/>
        <item x="80"/>
        <item x="64"/>
        <item x="188"/>
        <item x="120"/>
        <item x="216"/>
        <item x="164"/>
        <item x="56"/>
        <item x="154"/>
        <item x="218"/>
        <item x="140"/>
        <item x="209"/>
        <item x="39"/>
        <item x="198"/>
        <item x="192"/>
        <item x="267"/>
        <item x="222"/>
        <item x="109"/>
        <item x="156"/>
        <item x="176"/>
        <item x="108"/>
        <item x="191"/>
        <item x="40"/>
        <item x="22"/>
        <item x="100"/>
        <item x="220"/>
        <item x="152"/>
        <item x="122"/>
        <item x="62"/>
        <item x="48"/>
        <item x="133"/>
        <item x="9"/>
        <item x="68"/>
        <item x="224"/>
        <item x="235"/>
        <item x="73"/>
        <item x="139"/>
        <item x="201"/>
        <item x="204"/>
        <item x="183"/>
        <item x="79"/>
        <item x="151"/>
        <item x="160"/>
        <item x="238"/>
        <item x="212"/>
        <item x="261"/>
        <item x="105"/>
        <item x="89"/>
        <item x="34"/>
        <item x="255"/>
        <item x="177"/>
        <item x="169"/>
        <item x="243"/>
        <item x="274"/>
        <item x="166"/>
        <item x="219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numFmtId="10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9DF7F-778B-4AB3-90AB-634B2075F4CC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H15:I28" firstHeaderRow="1" firstDataRow="1" firstDataCol="1"/>
  <pivotFields count="28">
    <pivotField numFmtId="1" showAll="0"/>
    <pivotField numFmtId="14" showAll="0">
      <items count="278">
        <item x="263"/>
        <item x="23"/>
        <item x="128"/>
        <item x="136"/>
        <item x="27"/>
        <item x="75"/>
        <item x="18"/>
        <item x="115"/>
        <item x="214"/>
        <item x="265"/>
        <item x="31"/>
        <item x="223"/>
        <item x="35"/>
        <item x="60"/>
        <item x="270"/>
        <item x="92"/>
        <item x="112"/>
        <item x="260"/>
        <item x="240"/>
        <item x="244"/>
        <item x="132"/>
        <item x="116"/>
        <item x="81"/>
        <item x="193"/>
        <item x="125"/>
        <item x="173"/>
        <item x="275"/>
        <item x="90"/>
        <item x="36"/>
        <item x="162"/>
        <item x="234"/>
        <item x="42"/>
        <item x="54"/>
        <item x="225"/>
        <item x="211"/>
        <item x="134"/>
        <item x="86"/>
        <item x="102"/>
        <item x="158"/>
        <item x="16"/>
        <item x="71"/>
        <item x="180"/>
        <item x="246"/>
        <item x="276"/>
        <item x="4"/>
        <item x="93"/>
        <item x="221"/>
        <item x="50"/>
        <item x="229"/>
        <item x="236"/>
        <item x="149"/>
        <item x="96"/>
        <item x="107"/>
        <item x="155"/>
        <item x="124"/>
        <item x="262"/>
        <item x="52"/>
        <item x="172"/>
        <item x="33"/>
        <item x="37"/>
        <item x="146"/>
        <item x="46"/>
        <item x="88"/>
        <item x="47"/>
        <item x="142"/>
        <item x="127"/>
        <item x="26"/>
        <item x="210"/>
        <item x="17"/>
        <item x="178"/>
        <item x="171"/>
        <item x="237"/>
        <item x="95"/>
        <item x="272"/>
        <item x="104"/>
        <item x="232"/>
        <item x="145"/>
        <item x="168"/>
        <item x="170"/>
        <item x="19"/>
        <item x="97"/>
        <item x="49"/>
        <item x="51"/>
        <item x="1"/>
        <item x="87"/>
        <item x="12"/>
        <item x="57"/>
        <item x="106"/>
        <item x="15"/>
        <item x="44"/>
        <item x="200"/>
        <item x="14"/>
        <item x="131"/>
        <item x="91"/>
        <item x="245"/>
        <item x="69"/>
        <item x="253"/>
        <item x="30"/>
        <item x="226"/>
        <item x="174"/>
        <item x="228"/>
        <item x="135"/>
        <item x="161"/>
        <item x="29"/>
        <item x="25"/>
        <item x="67"/>
        <item x="194"/>
        <item x="175"/>
        <item x="196"/>
        <item x="118"/>
        <item x="99"/>
        <item x="111"/>
        <item x="248"/>
        <item x="213"/>
        <item x="227"/>
        <item x="28"/>
        <item x="59"/>
        <item x="53"/>
        <item x="143"/>
        <item x="217"/>
        <item x="181"/>
        <item x="94"/>
        <item x="61"/>
        <item x="119"/>
        <item x="269"/>
        <item x="150"/>
        <item x="257"/>
        <item x="21"/>
        <item x="266"/>
        <item x="249"/>
        <item x="242"/>
        <item x="10"/>
        <item x="233"/>
        <item x="117"/>
        <item x="184"/>
        <item x="2"/>
        <item x="43"/>
        <item x="258"/>
        <item x="182"/>
        <item x="207"/>
        <item x="24"/>
        <item x="126"/>
        <item x="241"/>
        <item x="20"/>
        <item x="6"/>
        <item x="114"/>
        <item x="0"/>
        <item x="11"/>
        <item x="98"/>
        <item x="130"/>
        <item x="251"/>
        <item x="179"/>
        <item x="84"/>
        <item x="78"/>
        <item x="167"/>
        <item x="144"/>
        <item x="8"/>
        <item x="113"/>
        <item x="250"/>
        <item x="32"/>
        <item x="195"/>
        <item x="55"/>
        <item x="189"/>
        <item x="70"/>
        <item x="147"/>
        <item x="247"/>
        <item x="186"/>
        <item x="45"/>
        <item x="76"/>
        <item x="38"/>
        <item x="215"/>
        <item x="208"/>
        <item x="185"/>
        <item x="239"/>
        <item x="202"/>
        <item x="197"/>
        <item x="205"/>
        <item x="82"/>
        <item x="256"/>
        <item x="103"/>
        <item x="187"/>
        <item x="141"/>
        <item x="203"/>
        <item x="159"/>
        <item x="77"/>
        <item x="138"/>
        <item x="271"/>
        <item x="66"/>
        <item x="72"/>
        <item x="163"/>
        <item x="41"/>
        <item x="148"/>
        <item x="13"/>
        <item x="157"/>
        <item x="273"/>
        <item x="65"/>
        <item x="85"/>
        <item x="252"/>
        <item x="121"/>
        <item x="83"/>
        <item x="190"/>
        <item x="3"/>
        <item x="123"/>
        <item x="153"/>
        <item x="165"/>
        <item x="254"/>
        <item x="206"/>
        <item x="259"/>
        <item x="199"/>
        <item x="63"/>
        <item x="74"/>
        <item x="268"/>
        <item x="264"/>
        <item x="5"/>
        <item x="137"/>
        <item x="230"/>
        <item x="101"/>
        <item x="7"/>
        <item x="110"/>
        <item x="129"/>
        <item x="231"/>
        <item x="58"/>
        <item x="80"/>
        <item x="64"/>
        <item x="188"/>
        <item x="120"/>
        <item x="216"/>
        <item x="164"/>
        <item x="56"/>
        <item x="154"/>
        <item x="218"/>
        <item x="140"/>
        <item x="209"/>
        <item x="39"/>
        <item x="198"/>
        <item x="192"/>
        <item x="267"/>
        <item x="222"/>
        <item x="109"/>
        <item x="156"/>
        <item x="176"/>
        <item x="108"/>
        <item x="191"/>
        <item x="40"/>
        <item x="22"/>
        <item x="100"/>
        <item x="220"/>
        <item x="152"/>
        <item x="122"/>
        <item x="62"/>
        <item x="48"/>
        <item x="133"/>
        <item x="9"/>
        <item x="68"/>
        <item x="224"/>
        <item x="235"/>
        <item x="73"/>
        <item x="139"/>
        <item x="201"/>
        <item x="204"/>
        <item x="183"/>
        <item x="79"/>
        <item x="151"/>
        <item x="160"/>
        <item x="238"/>
        <item x="212"/>
        <item x="261"/>
        <item x="105"/>
        <item x="89"/>
        <item x="34"/>
        <item x="255"/>
        <item x="177"/>
        <item x="169"/>
        <item x="243"/>
        <item x="274"/>
        <item x="166"/>
        <item x="219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numFmtId="10" showAll="0"/>
    <pivotField showAll="0"/>
    <pivotField showAll="0">
      <items count="13">
        <item x="9"/>
        <item x="3"/>
        <item x="8"/>
        <item x="1"/>
        <item x="7"/>
        <item x="6"/>
        <item x="0"/>
        <item x="11"/>
        <item x="2"/>
        <item x="4"/>
        <item x="10"/>
        <item x="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20" baseField="2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B0F89-447A-4524-8DC2-AA685B8FDA04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DICINE NAME">
  <location ref="A3:B19" firstHeaderRow="1" firstDataRow="1" firstDataCol="1"/>
  <pivotFields count="28">
    <pivotField numFmtId="1" showAll="0"/>
    <pivotField numFmtId="14" showAll="0">
      <items count="278">
        <item x="263"/>
        <item x="23"/>
        <item x="128"/>
        <item x="136"/>
        <item x="27"/>
        <item x="75"/>
        <item x="18"/>
        <item x="115"/>
        <item x="214"/>
        <item x="265"/>
        <item x="31"/>
        <item x="223"/>
        <item x="35"/>
        <item x="60"/>
        <item x="270"/>
        <item x="92"/>
        <item x="112"/>
        <item x="260"/>
        <item x="240"/>
        <item x="244"/>
        <item x="132"/>
        <item x="116"/>
        <item x="81"/>
        <item x="193"/>
        <item x="125"/>
        <item x="173"/>
        <item x="275"/>
        <item x="90"/>
        <item x="36"/>
        <item x="162"/>
        <item x="234"/>
        <item x="42"/>
        <item x="54"/>
        <item x="225"/>
        <item x="211"/>
        <item x="134"/>
        <item x="86"/>
        <item x="102"/>
        <item x="158"/>
        <item x="16"/>
        <item x="71"/>
        <item x="180"/>
        <item x="246"/>
        <item x="276"/>
        <item x="4"/>
        <item x="93"/>
        <item x="221"/>
        <item x="50"/>
        <item x="229"/>
        <item x="236"/>
        <item x="149"/>
        <item x="96"/>
        <item x="107"/>
        <item x="155"/>
        <item x="124"/>
        <item x="262"/>
        <item x="52"/>
        <item x="172"/>
        <item x="33"/>
        <item x="37"/>
        <item x="146"/>
        <item x="46"/>
        <item x="88"/>
        <item x="47"/>
        <item x="142"/>
        <item x="127"/>
        <item x="26"/>
        <item x="210"/>
        <item x="17"/>
        <item x="178"/>
        <item x="171"/>
        <item x="237"/>
        <item x="95"/>
        <item x="272"/>
        <item x="104"/>
        <item x="232"/>
        <item x="145"/>
        <item x="168"/>
        <item x="170"/>
        <item x="19"/>
        <item x="97"/>
        <item x="49"/>
        <item x="51"/>
        <item x="1"/>
        <item x="87"/>
        <item x="12"/>
        <item x="57"/>
        <item x="106"/>
        <item x="15"/>
        <item x="44"/>
        <item x="200"/>
        <item x="14"/>
        <item x="131"/>
        <item x="91"/>
        <item x="245"/>
        <item x="69"/>
        <item x="253"/>
        <item x="30"/>
        <item x="226"/>
        <item x="174"/>
        <item x="228"/>
        <item x="135"/>
        <item x="161"/>
        <item x="29"/>
        <item x="25"/>
        <item x="67"/>
        <item x="194"/>
        <item x="175"/>
        <item x="196"/>
        <item x="118"/>
        <item x="99"/>
        <item x="111"/>
        <item x="248"/>
        <item x="213"/>
        <item x="227"/>
        <item x="28"/>
        <item x="59"/>
        <item x="53"/>
        <item x="143"/>
        <item x="217"/>
        <item x="181"/>
        <item x="94"/>
        <item x="61"/>
        <item x="119"/>
        <item x="269"/>
        <item x="150"/>
        <item x="257"/>
        <item x="21"/>
        <item x="266"/>
        <item x="249"/>
        <item x="242"/>
        <item x="10"/>
        <item x="233"/>
        <item x="117"/>
        <item x="184"/>
        <item x="2"/>
        <item x="43"/>
        <item x="258"/>
        <item x="182"/>
        <item x="207"/>
        <item x="24"/>
        <item x="126"/>
        <item x="241"/>
        <item x="20"/>
        <item x="6"/>
        <item x="114"/>
        <item x="0"/>
        <item x="11"/>
        <item x="98"/>
        <item x="130"/>
        <item x="251"/>
        <item x="179"/>
        <item x="84"/>
        <item x="78"/>
        <item x="167"/>
        <item x="144"/>
        <item x="8"/>
        <item x="113"/>
        <item x="250"/>
        <item x="32"/>
        <item x="195"/>
        <item x="55"/>
        <item x="189"/>
        <item x="70"/>
        <item x="147"/>
        <item x="247"/>
        <item x="186"/>
        <item x="45"/>
        <item x="76"/>
        <item x="38"/>
        <item x="215"/>
        <item x="208"/>
        <item x="185"/>
        <item x="239"/>
        <item x="202"/>
        <item x="197"/>
        <item x="205"/>
        <item x="82"/>
        <item x="256"/>
        <item x="103"/>
        <item x="187"/>
        <item x="141"/>
        <item x="203"/>
        <item x="159"/>
        <item x="77"/>
        <item x="138"/>
        <item x="271"/>
        <item x="66"/>
        <item x="72"/>
        <item x="163"/>
        <item x="41"/>
        <item x="148"/>
        <item x="13"/>
        <item x="157"/>
        <item x="273"/>
        <item x="65"/>
        <item x="85"/>
        <item x="252"/>
        <item x="121"/>
        <item x="83"/>
        <item x="190"/>
        <item x="3"/>
        <item x="123"/>
        <item x="153"/>
        <item x="165"/>
        <item x="254"/>
        <item x="206"/>
        <item x="259"/>
        <item x="199"/>
        <item x="63"/>
        <item x="74"/>
        <item x="268"/>
        <item x="264"/>
        <item x="5"/>
        <item x="137"/>
        <item x="230"/>
        <item x="101"/>
        <item x="7"/>
        <item x="110"/>
        <item x="129"/>
        <item x="231"/>
        <item x="58"/>
        <item x="80"/>
        <item x="64"/>
        <item x="188"/>
        <item x="120"/>
        <item x="216"/>
        <item x="164"/>
        <item x="56"/>
        <item x="154"/>
        <item x="218"/>
        <item x="140"/>
        <item x="209"/>
        <item x="39"/>
        <item x="198"/>
        <item x="192"/>
        <item x="267"/>
        <item x="222"/>
        <item x="109"/>
        <item x="156"/>
        <item x="176"/>
        <item x="108"/>
        <item x="191"/>
        <item x="40"/>
        <item x="22"/>
        <item x="100"/>
        <item x="220"/>
        <item x="152"/>
        <item x="122"/>
        <item x="62"/>
        <item x="48"/>
        <item x="133"/>
        <item x="9"/>
        <item x="68"/>
        <item x="224"/>
        <item x="235"/>
        <item x="73"/>
        <item x="139"/>
        <item x="201"/>
        <item x="204"/>
        <item x="183"/>
        <item x="79"/>
        <item x="151"/>
        <item x="160"/>
        <item x="238"/>
        <item x="212"/>
        <item x="261"/>
        <item x="105"/>
        <item x="89"/>
        <item x="34"/>
        <item x="255"/>
        <item x="177"/>
        <item x="169"/>
        <item x="243"/>
        <item x="274"/>
        <item x="166"/>
        <item x="219"/>
        <item t="default"/>
      </items>
    </pivotField>
    <pivotField axis="axisRow" showAll="0">
      <items count="16">
        <item x="0"/>
        <item x="4"/>
        <item x="13"/>
        <item x="14"/>
        <item x="10"/>
        <item x="7"/>
        <item x="5"/>
        <item x="2"/>
        <item x="8"/>
        <item x="3"/>
        <item x="11"/>
        <item x="12"/>
        <item x="9"/>
        <item x="6"/>
        <item x="1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numFmtId="10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293A4-CBFD-4747-8D2B-4870AFE567CF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7:AC24" firstHeaderRow="1" firstDataRow="1" firstDataCol="0"/>
  <pivotFields count="28">
    <pivotField numFmtId="1" showAll="0"/>
    <pivotField numFmtId="14" showAll="0">
      <items count="278">
        <item x="263"/>
        <item x="23"/>
        <item x="128"/>
        <item x="136"/>
        <item x="27"/>
        <item x="75"/>
        <item x="18"/>
        <item x="115"/>
        <item x="214"/>
        <item x="265"/>
        <item x="31"/>
        <item x="223"/>
        <item x="35"/>
        <item x="60"/>
        <item x="270"/>
        <item x="92"/>
        <item x="112"/>
        <item x="260"/>
        <item x="240"/>
        <item x="244"/>
        <item x="132"/>
        <item x="116"/>
        <item x="81"/>
        <item x="193"/>
        <item x="125"/>
        <item x="173"/>
        <item x="275"/>
        <item x="90"/>
        <item x="36"/>
        <item x="162"/>
        <item x="234"/>
        <item x="42"/>
        <item x="54"/>
        <item x="225"/>
        <item x="211"/>
        <item x="134"/>
        <item x="86"/>
        <item x="102"/>
        <item x="158"/>
        <item x="16"/>
        <item x="71"/>
        <item x="180"/>
        <item x="246"/>
        <item x="276"/>
        <item x="4"/>
        <item x="93"/>
        <item x="221"/>
        <item x="50"/>
        <item x="229"/>
        <item x="236"/>
        <item x="149"/>
        <item x="96"/>
        <item x="107"/>
        <item x="155"/>
        <item x="124"/>
        <item x="262"/>
        <item x="52"/>
        <item x="172"/>
        <item x="33"/>
        <item x="37"/>
        <item x="146"/>
        <item x="46"/>
        <item x="88"/>
        <item x="47"/>
        <item x="142"/>
        <item x="127"/>
        <item x="26"/>
        <item x="210"/>
        <item x="17"/>
        <item x="178"/>
        <item x="171"/>
        <item x="237"/>
        <item x="95"/>
        <item x="272"/>
        <item x="104"/>
        <item x="232"/>
        <item x="145"/>
        <item x="168"/>
        <item x="170"/>
        <item x="19"/>
        <item x="97"/>
        <item x="49"/>
        <item x="51"/>
        <item x="1"/>
        <item x="87"/>
        <item x="12"/>
        <item x="57"/>
        <item x="106"/>
        <item x="15"/>
        <item x="44"/>
        <item x="200"/>
        <item x="14"/>
        <item x="131"/>
        <item x="91"/>
        <item x="245"/>
        <item x="69"/>
        <item x="253"/>
        <item x="30"/>
        <item x="226"/>
        <item x="174"/>
        <item x="228"/>
        <item x="135"/>
        <item x="161"/>
        <item x="29"/>
        <item x="25"/>
        <item x="67"/>
        <item x="194"/>
        <item x="175"/>
        <item x="196"/>
        <item x="118"/>
        <item x="99"/>
        <item x="111"/>
        <item x="248"/>
        <item x="213"/>
        <item x="227"/>
        <item x="28"/>
        <item x="59"/>
        <item x="53"/>
        <item x="143"/>
        <item x="217"/>
        <item x="181"/>
        <item x="94"/>
        <item x="61"/>
        <item x="119"/>
        <item x="269"/>
        <item x="150"/>
        <item x="257"/>
        <item x="21"/>
        <item x="266"/>
        <item x="249"/>
        <item x="242"/>
        <item x="10"/>
        <item x="233"/>
        <item x="117"/>
        <item x="184"/>
        <item x="2"/>
        <item x="43"/>
        <item x="258"/>
        <item x="182"/>
        <item x="207"/>
        <item x="24"/>
        <item x="126"/>
        <item x="241"/>
        <item x="20"/>
        <item x="6"/>
        <item x="114"/>
        <item x="0"/>
        <item x="11"/>
        <item x="98"/>
        <item x="130"/>
        <item x="251"/>
        <item x="179"/>
        <item x="84"/>
        <item x="78"/>
        <item x="167"/>
        <item x="144"/>
        <item x="8"/>
        <item x="113"/>
        <item x="250"/>
        <item x="32"/>
        <item x="195"/>
        <item x="55"/>
        <item x="189"/>
        <item x="70"/>
        <item x="147"/>
        <item x="247"/>
        <item x="186"/>
        <item x="45"/>
        <item x="76"/>
        <item x="38"/>
        <item x="215"/>
        <item x="208"/>
        <item x="185"/>
        <item x="239"/>
        <item x="202"/>
        <item x="197"/>
        <item x="205"/>
        <item x="82"/>
        <item x="256"/>
        <item x="103"/>
        <item x="187"/>
        <item x="141"/>
        <item x="203"/>
        <item x="159"/>
        <item x="77"/>
        <item x="138"/>
        <item x="271"/>
        <item x="66"/>
        <item x="72"/>
        <item x="163"/>
        <item x="41"/>
        <item x="148"/>
        <item x="13"/>
        <item x="157"/>
        <item x="273"/>
        <item x="65"/>
        <item x="85"/>
        <item x="252"/>
        <item x="121"/>
        <item x="83"/>
        <item x="190"/>
        <item x="3"/>
        <item x="123"/>
        <item x="153"/>
        <item x="165"/>
        <item x="254"/>
        <item x="206"/>
        <item x="259"/>
        <item x="199"/>
        <item x="63"/>
        <item x="74"/>
        <item x="268"/>
        <item x="264"/>
        <item x="5"/>
        <item x="137"/>
        <item x="230"/>
        <item x="101"/>
        <item x="7"/>
        <item x="110"/>
        <item x="129"/>
        <item x="231"/>
        <item x="58"/>
        <item x="80"/>
        <item x="64"/>
        <item x="188"/>
        <item x="120"/>
        <item x="216"/>
        <item x="164"/>
        <item x="56"/>
        <item x="154"/>
        <item x="218"/>
        <item x="140"/>
        <item x="209"/>
        <item x="39"/>
        <item x="198"/>
        <item x="192"/>
        <item x="267"/>
        <item x="222"/>
        <item x="109"/>
        <item x="156"/>
        <item x="176"/>
        <item x="108"/>
        <item x="191"/>
        <item x="40"/>
        <item x="22"/>
        <item x="100"/>
        <item x="220"/>
        <item x="152"/>
        <item x="122"/>
        <item x="62"/>
        <item x="48"/>
        <item x="133"/>
        <item x="9"/>
        <item x="68"/>
        <item x="224"/>
        <item x="235"/>
        <item x="73"/>
        <item x="139"/>
        <item x="201"/>
        <item x="204"/>
        <item x="183"/>
        <item x="79"/>
        <item x="151"/>
        <item x="160"/>
        <item x="238"/>
        <item x="212"/>
        <item x="261"/>
        <item x="105"/>
        <item x="89"/>
        <item x="34"/>
        <item x="255"/>
        <item x="177"/>
        <item x="169"/>
        <item x="243"/>
        <item x="274"/>
        <item x="166"/>
        <item x="219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0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0158-D4EC-4CDB-B6B0-70AE0FAD61C2}">
  <dimension ref="A3:M32"/>
  <sheetViews>
    <sheetView tabSelected="1" topLeftCell="A8" workbookViewId="0">
      <selection activeCell="A23" sqref="A23"/>
    </sheetView>
  </sheetViews>
  <sheetFormatPr defaultRowHeight="14.4" x14ac:dyDescent="0.3"/>
  <cols>
    <col min="1" max="1" width="13.21875" bestFit="1" customWidth="1"/>
    <col min="2" max="2" width="15.5546875" bestFit="1" customWidth="1"/>
    <col min="8" max="8" width="12.5546875" bestFit="1" customWidth="1"/>
    <col min="9" max="9" width="15.5546875" bestFit="1" customWidth="1"/>
    <col min="11" max="11" width="12.5546875" bestFit="1" customWidth="1"/>
    <col min="12" max="12" width="14.77734375" bestFit="1" customWidth="1"/>
    <col min="13" max="13" width="15.5546875" bestFit="1" customWidth="1"/>
  </cols>
  <sheetData>
    <row r="3" spans="1:13" x14ac:dyDescent="0.3">
      <c r="A3" s="16" t="s">
        <v>587</v>
      </c>
      <c r="B3" t="s">
        <v>573</v>
      </c>
    </row>
    <row r="4" spans="1:13" x14ac:dyDescent="0.3">
      <c r="A4" s="17" t="s">
        <v>31</v>
      </c>
      <c r="B4" s="15">
        <v>18180</v>
      </c>
      <c r="K4" s="16" t="s">
        <v>589</v>
      </c>
      <c r="L4" t="s">
        <v>573</v>
      </c>
    </row>
    <row r="5" spans="1:13" x14ac:dyDescent="0.3">
      <c r="A5" s="17" t="s">
        <v>108</v>
      </c>
      <c r="B5" s="15">
        <v>9360</v>
      </c>
      <c r="K5" s="17" t="s">
        <v>35</v>
      </c>
      <c r="L5" s="15">
        <v>36303</v>
      </c>
    </row>
    <row r="6" spans="1:13" x14ac:dyDescent="0.3">
      <c r="A6" s="17" t="s">
        <v>47</v>
      </c>
      <c r="B6" s="15">
        <v>4550</v>
      </c>
      <c r="K6" s="17" t="s">
        <v>43</v>
      </c>
      <c r="L6" s="15">
        <v>35212</v>
      </c>
    </row>
    <row r="7" spans="1:13" x14ac:dyDescent="0.3">
      <c r="A7" s="17" t="s">
        <v>40</v>
      </c>
      <c r="B7" s="15">
        <v>2550</v>
      </c>
      <c r="K7" s="17" t="s">
        <v>25</v>
      </c>
      <c r="L7" s="15">
        <v>36742</v>
      </c>
    </row>
    <row r="8" spans="1:13" x14ac:dyDescent="0.3">
      <c r="A8" s="17" t="s">
        <v>98</v>
      </c>
      <c r="B8" s="15">
        <v>4640</v>
      </c>
      <c r="K8" s="17" t="s">
        <v>574</v>
      </c>
      <c r="L8" s="15">
        <v>108257</v>
      </c>
    </row>
    <row r="9" spans="1:13" x14ac:dyDescent="0.3">
      <c r="A9" s="17" t="s">
        <v>75</v>
      </c>
      <c r="B9" s="15">
        <v>4410</v>
      </c>
    </row>
    <row r="10" spans="1:13" x14ac:dyDescent="0.3">
      <c r="A10" s="17" t="s">
        <v>61</v>
      </c>
      <c r="B10" s="15">
        <v>2480</v>
      </c>
    </row>
    <row r="11" spans="1:13" x14ac:dyDescent="0.3">
      <c r="A11" s="17" t="s">
        <v>69</v>
      </c>
      <c r="B11" s="15">
        <v>4560</v>
      </c>
    </row>
    <row r="12" spans="1:13" x14ac:dyDescent="0.3">
      <c r="A12" s="17" t="s">
        <v>84</v>
      </c>
      <c r="B12" s="15">
        <v>7865</v>
      </c>
    </row>
    <row r="13" spans="1:13" x14ac:dyDescent="0.3">
      <c r="A13" s="17" t="s">
        <v>92</v>
      </c>
      <c r="B13" s="15">
        <v>2072</v>
      </c>
    </row>
    <row r="14" spans="1:13" x14ac:dyDescent="0.3">
      <c r="A14" s="17" t="s">
        <v>105</v>
      </c>
      <c r="B14" s="15">
        <v>11750</v>
      </c>
      <c r="L14" s="16" t="s">
        <v>590</v>
      </c>
      <c r="M14" t="s">
        <v>573</v>
      </c>
    </row>
    <row r="15" spans="1:13" x14ac:dyDescent="0.3">
      <c r="A15" s="17" t="s">
        <v>134</v>
      </c>
      <c r="B15" s="15">
        <v>5985</v>
      </c>
      <c r="H15" s="16" t="s">
        <v>588</v>
      </c>
      <c r="I15" t="s">
        <v>573</v>
      </c>
      <c r="L15" s="17" t="s">
        <v>37</v>
      </c>
      <c r="M15" s="15">
        <v>25983</v>
      </c>
    </row>
    <row r="16" spans="1:13" x14ac:dyDescent="0.3">
      <c r="A16" s="17" t="s">
        <v>20</v>
      </c>
      <c r="B16" s="15">
        <v>10455</v>
      </c>
      <c r="H16" s="17" t="s">
        <v>575</v>
      </c>
      <c r="I16" s="15">
        <v>6636</v>
      </c>
      <c r="L16" s="17" t="s">
        <v>28</v>
      </c>
      <c r="M16" s="15">
        <v>23591</v>
      </c>
    </row>
    <row r="17" spans="1:13" x14ac:dyDescent="0.3">
      <c r="A17" s="17" t="s">
        <v>79</v>
      </c>
      <c r="B17" s="15">
        <v>11000</v>
      </c>
      <c r="H17" s="17" t="s">
        <v>576</v>
      </c>
      <c r="I17" s="15">
        <v>8983</v>
      </c>
      <c r="L17" s="17" t="s">
        <v>59</v>
      </c>
      <c r="M17" s="15">
        <v>18584</v>
      </c>
    </row>
    <row r="18" spans="1:13" x14ac:dyDescent="0.3">
      <c r="A18" s="17" t="s">
        <v>56</v>
      </c>
      <c r="B18" s="15">
        <v>8400</v>
      </c>
      <c r="H18" s="17" t="s">
        <v>577</v>
      </c>
      <c r="I18" s="15">
        <v>9983</v>
      </c>
      <c r="L18" s="17" t="s">
        <v>66</v>
      </c>
      <c r="M18" s="15">
        <v>19920</v>
      </c>
    </row>
    <row r="19" spans="1:13" x14ac:dyDescent="0.3">
      <c r="A19" s="17" t="s">
        <v>574</v>
      </c>
      <c r="B19" s="15">
        <v>108257</v>
      </c>
      <c r="H19" s="17" t="s">
        <v>578</v>
      </c>
      <c r="I19" s="15">
        <v>7778</v>
      </c>
      <c r="L19" s="17" t="s">
        <v>53</v>
      </c>
      <c r="M19" s="15">
        <v>20179</v>
      </c>
    </row>
    <row r="20" spans="1:13" x14ac:dyDescent="0.3">
      <c r="H20" s="17" t="s">
        <v>579</v>
      </c>
      <c r="I20" s="15">
        <v>9500</v>
      </c>
      <c r="L20" s="17" t="s">
        <v>574</v>
      </c>
      <c r="M20" s="15">
        <v>108257</v>
      </c>
    </row>
    <row r="21" spans="1:13" x14ac:dyDescent="0.3">
      <c r="H21" s="17" t="s">
        <v>580</v>
      </c>
      <c r="I21" s="15">
        <v>8907</v>
      </c>
    </row>
    <row r="22" spans="1:13" x14ac:dyDescent="0.3">
      <c r="A22" s="16" t="s">
        <v>592</v>
      </c>
      <c r="B22" t="s">
        <v>573</v>
      </c>
      <c r="H22" s="17" t="s">
        <v>581</v>
      </c>
      <c r="I22" s="15">
        <v>8724</v>
      </c>
    </row>
    <row r="23" spans="1:13" x14ac:dyDescent="0.3">
      <c r="A23" s="17" t="s">
        <v>106</v>
      </c>
      <c r="B23" s="15">
        <v>11750</v>
      </c>
      <c r="H23" s="17" t="s">
        <v>582</v>
      </c>
      <c r="I23" s="15">
        <v>9715</v>
      </c>
      <c r="L23" s="16" t="s">
        <v>591</v>
      </c>
      <c r="M23" t="s">
        <v>573</v>
      </c>
    </row>
    <row r="24" spans="1:13" x14ac:dyDescent="0.3">
      <c r="A24" s="17" t="s">
        <v>32</v>
      </c>
      <c r="B24" s="15">
        <v>27540</v>
      </c>
      <c r="H24" s="17" t="s">
        <v>583</v>
      </c>
      <c r="I24" s="15">
        <v>9040</v>
      </c>
      <c r="L24" s="17" t="s">
        <v>54</v>
      </c>
      <c r="M24" s="15">
        <v>16445</v>
      </c>
    </row>
    <row r="25" spans="1:13" x14ac:dyDescent="0.3">
      <c r="A25" s="17" t="s">
        <v>57</v>
      </c>
      <c r="B25" s="15">
        <v>8400</v>
      </c>
      <c r="H25" s="17" t="s">
        <v>584</v>
      </c>
      <c r="I25" s="15">
        <v>7204</v>
      </c>
      <c r="L25" s="17" t="s">
        <v>29</v>
      </c>
      <c r="M25" s="15">
        <v>22786</v>
      </c>
    </row>
    <row r="26" spans="1:13" x14ac:dyDescent="0.3">
      <c r="A26" s="17" t="s">
        <v>80</v>
      </c>
      <c r="B26" s="15">
        <v>11000</v>
      </c>
      <c r="H26" s="17" t="s">
        <v>585</v>
      </c>
      <c r="I26" s="15">
        <v>9451</v>
      </c>
      <c r="L26" s="17" t="s">
        <v>38</v>
      </c>
      <c r="M26" s="15">
        <v>22146</v>
      </c>
    </row>
    <row r="27" spans="1:13" x14ac:dyDescent="0.3">
      <c r="A27" s="17" t="s">
        <v>85</v>
      </c>
      <c r="B27" s="15">
        <v>7865</v>
      </c>
      <c r="H27" s="17" t="s">
        <v>586</v>
      </c>
      <c r="I27" s="15">
        <v>12336</v>
      </c>
      <c r="L27" s="17" t="s">
        <v>86</v>
      </c>
      <c r="M27" s="15">
        <v>20742</v>
      </c>
    </row>
    <row r="28" spans="1:13" x14ac:dyDescent="0.3">
      <c r="A28" s="17" t="s">
        <v>21</v>
      </c>
      <c r="B28" s="15">
        <v>16440</v>
      </c>
      <c r="H28" s="17" t="s">
        <v>574</v>
      </c>
      <c r="I28" s="15">
        <v>108257</v>
      </c>
      <c r="L28" s="17" t="s">
        <v>22</v>
      </c>
      <c r="M28" s="15">
        <v>26138</v>
      </c>
    </row>
    <row r="29" spans="1:13" x14ac:dyDescent="0.3">
      <c r="A29" s="17" t="s">
        <v>62</v>
      </c>
      <c r="B29" s="15">
        <v>2480</v>
      </c>
      <c r="L29" s="17" t="s">
        <v>574</v>
      </c>
      <c r="M29" s="15">
        <v>108257</v>
      </c>
    </row>
    <row r="30" spans="1:13" x14ac:dyDescent="0.3">
      <c r="A30" s="17" t="s">
        <v>41</v>
      </c>
      <c r="B30" s="15">
        <v>11600</v>
      </c>
    </row>
    <row r="31" spans="1:13" x14ac:dyDescent="0.3">
      <c r="A31" s="17" t="s">
        <v>48</v>
      </c>
      <c r="B31" s="15">
        <v>11182</v>
      </c>
    </row>
    <row r="32" spans="1:13" x14ac:dyDescent="0.3">
      <c r="A32" s="17" t="s">
        <v>574</v>
      </c>
      <c r="B32" s="15">
        <v>108257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opLeftCell="L475" workbookViewId="0">
      <selection sqref="A1:Z501"/>
    </sheetView>
  </sheetViews>
  <sheetFormatPr defaultRowHeight="14.4" x14ac:dyDescent="0.3"/>
  <cols>
    <col min="1" max="1" width="9.5546875" bestFit="1" customWidth="1"/>
    <col min="2" max="2" width="16.77734375" bestFit="1" customWidth="1"/>
    <col min="3" max="3" width="13.6640625" bestFit="1" customWidth="1"/>
    <col min="4" max="4" width="13.21875" bestFit="1" customWidth="1"/>
    <col min="5" max="5" width="10.5546875" bestFit="1" customWidth="1"/>
    <col min="6" max="6" width="7.33203125" bestFit="1" customWidth="1"/>
    <col min="7" max="7" width="14.6640625" customWidth="1"/>
    <col min="8" max="8" width="8" bestFit="1" customWidth="1"/>
    <col min="9" max="9" width="18.44140625" customWidth="1"/>
    <col min="10" max="10" width="20.6640625" customWidth="1"/>
    <col min="11" max="11" width="13.21875" customWidth="1"/>
    <col min="12" max="12" width="12.88671875" customWidth="1"/>
    <col min="13" max="13" width="25" customWidth="1"/>
    <col min="14" max="14" width="12.77734375" customWidth="1"/>
    <col min="15" max="15" width="17.33203125" customWidth="1"/>
    <col min="16" max="16" width="11.77734375" customWidth="1"/>
    <col min="17" max="17" width="16" customWidth="1"/>
    <col min="18" max="18" width="18.77734375" customWidth="1"/>
    <col min="19" max="19" width="15.44140625" customWidth="1"/>
    <col min="20" max="20" width="14.44140625" customWidth="1"/>
  </cols>
  <sheetData>
    <row r="1" spans="1:29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568</v>
      </c>
      <c r="V1" t="s">
        <v>569</v>
      </c>
      <c r="W1" t="s">
        <v>571</v>
      </c>
      <c r="X1" s="5" t="s">
        <v>572</v>
      </c>
      <c r="Y1" t="s">
        <v>567</v>
      </c>
      <c r="Z1" t="s">
        <v>570</v>
      </c>
    </row>
    <row r="2" spans="1:29" x14ac:dyDescent="0.3">
      <c r="A2" s="2">
        <v>1003</v>
      </c>
      <c r="B2" s="3">
        <v>45851</v>
      </c>
      <c r="C2" s="4" t="s">
        <v>31</v>
      </c>
      <c r="D2" s="4" t="s">
        <v>32</v>
      </c>
      <c r="E2" s="4" t="s">
        <v>33</v>
      </c>
      <c r="F2" s="4" t="s">
        <v>23</v>
      </c>
      <c r="G2" t="s">
        <v>34</v>
      </c>
      <c r="H2" s="2">
        <v>1</v>
      </c>
      <c r="I2" s="2">
        <v>140</v>
      </c>
      <c r="J2">
        <v>180</v>
      </c>
      <c r="K2">
        <v>10</v>
      </c>
      <c r="L2">
        <v>12</v>
      </c>
      <c r="M2" t="s">
        <v>35</v>
      </c>
      <c r="N2" t="s">
        <v>26</v>
      </c>
      <c r="O2">
        <v>27</v>
      </c>
      <c r="P2" t="s">
        <v>36</v>
      </c>
      <c r="Q2" t="s">
        <v>37</v>
      </c>
      <c r="R2" t="s">
        <v>38</v>
      </c>
      <c r="S2" t="s">
        <v>39</v>
      </c>
      <c r="T2" s="1">
        <v>46338</v>
      </c>
      <c r="U2">
        <f>(H2*J2)</f>
        <v>180</v>
      </c>
      <c r="V2">
        <f>(H2*I2)</f>
        <v>140</v>
      </c>
      <c r="W2">
        <f>(U2-V2)</f>
        <v>40</v>
      </c>
      <c r="X2" s="5">
        <f>(W2/U2)</f>
        <v>0.22222222222222221</v>
      </c>
      <c r="Y2">
        <f>YEAR(B2)</f>
        <v>2025</v>
      </c>
      <c r="Z2">
        <f>MONTH(B2)</f>
        <v>7</v>
      </c>
    </row>
    <row r="3" spans="1:29" x14ac:dyDescent="0.3">
      <c r="A3" s="2">
        <v>1006</v>
      </c>
      <c r="B3" s="3">
        <v>45767</v>
      </c>
      <c r="C3" s="4" t="s">
        <v>56</v>
      </c>
      <c r="D3" s="4" t="s">
        <v>57</v>
      </c>
      <c r="E3" s="4" t="s">
        <v>58</v>
      </c>
      <c r="F3" s="4" t="s">
        <v>23</v>
      </c>
      <c r="G3" t="s">
        <v>24</v>
      </c>
      <c r="H3" s="2">
        <v>1</v>
      </c>
      <c r="I3" s="2">
        <v>75</v>
      </c>
      <c r="J3">
        <v>100</v>
      </c>
      <c r="K3">
        <v>0</v>
      </c>
      <c r="L3">
        <v>12</v>
      </c>
      <c r="M3" t="s">
        <v>35</v>
      </c>
      <c r="N3" t="s">
        <v>44</v>
      </c>
      <c r="O3">
        <v>41</v>
      </c>
      <c r="P3" t="s">
        <v>36</v>
      </c>
      <c r="Q3" t="s">
        <v>59</v>
      </c>
      <c r="R3" t="s">
        <v>54</v>
      </c>
      <c r="S3" t="s">
        <v>60</v>
      </c>
      <c r="T3" s="1">
        <v>46107</v>
      </c>
      <c r="U3">
        <f t="shared" ref="U3:U66" si="0">(H3*J3)</f>
        <v>100</v>
      </c>
      <c r="V3">
        <f t="shared" ref="V3:V66" si="1">(H3*I3)</f>
        <v>75</v>
      </c>
      <c r="W3">
        <f t="shared" ref="W3:W66" si="2">(U3-V3)</f>
        <v>25</v>
      </c>
      <c r="X3" s="5">
        <f t="shared" ref="X3:X66" si="3">(W3/U3)</f>
        <v>0.25</v>
      </c>
      <c r="Y3">
        <f t="shared" ref="Y3:Y66" si="4">YEAR(B3)</f>
        <v>2025</v>
      </c>
      <c r="Z3">
        <f t="shared" ref="Z3:Z66" si="5">MONTH(B3)</f>
        <v>4</v>
      </c>
    </row>
    <row r="4" spans="1:29" x14ac:dyDescent="0.3">
      <c r="A4" s="2">
        <v>1010</v>
      </c>
      <c r="B4" s="3">
        <v>45839</v>
      </c>
      <c r="C4" s="4" t="s">
        <v>69</v>
      </c>
      <c r="D4" s="4" t="s">
        <v>48</v>
      </c>
      <c r="E4" s="4" t="s">
        <v>70</v>
      </c>
      <c r="F4" s="4" t="s">
        <v>50</v>
      </c>
      <c r="G4" t="s">
        <v>71</v>
      </c>
      <c r="H4" s="2">
        <v>1</v>
      </c>
      <c r="I4" s="2">
        <v>25</v>
      </c>
      <c r="J4">
        <v>38</v>
      </c>
      <c r="K4">
        <v>10</v>
      </c>
      <c r="L4">
        <v>12</v>
      </c>
      <c r="M4" t="s">
        <v>25</v>
      </c>
      <c r="N4" t="s">
        <v>26</v>
      </c>
      <c r="O4">
        <v>30</v>
      </c>
      <c r="P4" t="s">
        <v>36</v>
      </c>
      <c r="Q4" t="s">
        <v>53</v>
      </c>
      <c r="R4" t="s">
        <v>38</v>
      </c>
      <c r="S4" t="s">
        <v>72</v>
      </c>
      <c r="T4" s="1">
        <v>46270</v>
      </c>
      <c r="U4">
        <f t="shared" si="0"/>
        <v>38</v>
      </c>
      <c r="V4">
        <f t="shared" si="1"/>
        <v>25</v>
      </c>
      <c r="W4">
        <f t="shared" si="2"/>
        <v>13</v>
      </c>
      <c r="X4" s="5">
        <f t="shared" si="3"/>
        <v>0.34210526315789475</v>
      </c>
      <c r="Y4">
        <f t="shared" si="4"/>
        <v>2025</v>
      </c>
      <c r="Z4">
        <f t="shared" si="5"/>
        <v>7</v>
      </c>
    </row>
    <row r="5" spans="1:29" x14ac:dyDescent="0.3">
      <c r="A5" s="2">
        <v>1021</v>
      </c>
      <c r="B5" s="3">
        <v>45925</v>
      </c>
      <c r="C5" s="4" t="s">
        <v>92</v>
      </c>
      <c r="D5" s="4" t="s">
        <v>48</v>
      </c>
      <c r="E5" s="4" t="s">
        <v>54</v>
      </c>
      <c r="F5" s="4" t="s">
        <v>23</v>
      </c>
      <c r="G5" t="s">
        <v>82</v>
      </c>
      <c r="H5" s="2">
        <v>1</v>
      </c>
      <c r="I5" s="2">
        <v>18</v>
      </c>
      <c r="J5">
        <v>28</v>
      </c>
      <c r="K5">
        <v>5</v>
      </c>
      <c r="L5">
        <v>12</v>
      </c>
      <c r="M5" t="s">
        <v>35</v>
      </c>
      <c r="N5" t="s">
        <v>44</v>
      </c>
      <c r="O5">
        <v>74</v>
      </c>
      <c r="P5" t="s">
        <v>36</v>
      </c>
      <c r="Q5" t="s">
        <v>59</v>
      </c>
      <c r="R5" t="s">
        <v>38</v>
      </c>
      <c r="S5" t="s">
        <v>93</v>
      </c>
      <c r="T5" s="1">
        <v>46180</v>
      </c>
      <c r="U5">
        <f t="shared" si="0"/>
        <v>28</v>
      </c>
      <c r="V5">
        <f t="shared" si="1"/>
        <v>18</v>
      </c>
      <c r="W5">
        <f t="shared" si="2"/>
        <v>10</v>
      </c>
      <c r="X5" s="5">
        <f t="shared" si="3"/>
        <v>0.35714285714285715</v>
      </c>
      <c r="Y5">
        <f t="shared" si="4"/>
        <v>2025</v>
      </c>
      <c r="Z5">
        <f t="shared" si="5"/>
        <v>9</v>
      </c>
    </row>
    <row r="6" spans="1:29" x14ac:dyDescent="0.3">
      <c r="A6" s="2">
        <v>1027</v>
      </c>
      <c r="B6" s="3">
        <v>45714</v>
      </c>
      <c r="C6" s="4" t="s">
        <v>69</v>
      </c>
      <c r="D6" s="4" t="s">
        <v>48</v>
      </c>
      <c r="E6" s="4" t="s">
        <v>70</v>
      </c>
      <c r="F6" s="4" t="s">
        <v>50</v>
      </c>
      <c r="G6" t="s">
        <v>71</v>
      </c>
      <c r="H6" s="2">
        <v>1</v>
      </c>
      <c r="I6" s="2">
        <v>25</v>
      </c>
      <c r="J6">
        <v>38</v>
      </c>
      <c r="K6">
        <v>5</v>
      </c>
      <c r="L6">
        <v>12</v>
      </c>
      <c r="M6" t="s">
        <v>35</v>
      </c>
      <c r="N6" t="s">
        <v>26</v>
      </c>
      <c r="O6">
        <v>67</v>
      </c>
      <c r="P6" t="s">
        <v>52</v>
      </c>
      <c r="Q6" t="s">
        <v>37</v>
      </c>
      <c r="R6" t="s">
        <v>54</v>
      </c>
      <c r="S6" t="s">
        <v>100</v>
      </c>
      <c r="T6" s="1">
        <v>46143</v>
      </c>
      <c r="U6">
        <f t="shared" si="0"/>
        <v>38</v>
      </c>
      <c r="V6">
        <f t="shared" si="1"/>
        <v>25</v>
      </c>
      <c r="W6">
        <f t="shared" si="2"/>
        <v>13</v>
      </c>
      <c r="X6" s="5">
        <f t="shared" si="3"/>
        <v>0.34210526315789475</v>
      </c>
      <c r="Y6">
        <f t="shared" si="4"/>
        <v>2025</v>
      </c>
      <c r="Z6">
        <f t="shared" si="5"/>
        <v>2</v>
      </c>
    </row>
    <row r="7" spans="1:29" x14ac:dyDescent="0.3">
      <c r="A7" s="2">
        <v>1033</v>
      </c>
      <c r="B7" s="3">
        <v>45944</v>
      </c>
      <c r="C7" s="4" t="s">
        <v>108</v>
      </c>
      <c r="D7" s="4" t="s">
        <v>32</v>
      </c>
      <c r="E7" s="4" t="s">
        <v>109</v>
      </c>
      <c r="F7" s="4" t="s">
        <v>23</v>
      </c>
      <c r="G7" t="s">
        <v>82</v>
      </c>
      <c r="H7" s="2">
        <v>1</v>
      </c>
      <c r="I7" s="2">
        <v>90</v>
      </c>
      <c r="J7">
        <v>120</v>
      </c>
      <c r="K7">
        <v>0</v>
      </c>
      <c r="L7">
        <v>12</v>
      </c>
      <c r="M7" t="s">
        <v>35</v>
      </c>
      <c r="N7" t="s">
        <v>44</v>
      </c>
      <c r="O7">
        <v>69</v>
      </c>
      <c r="P7" t="s">
        <v>45</v>
      </c>
      <c r="Q7" t="s">
        <v>66</v>
      </c>
      <c r="R7" t="s">
        <v>29</v>
      </c>
      <c r="S7" t="s">
        <v>110</v>
      </c>
      <c r="T7" s="1">
        <v>46621</v>
      </c>
      <c r="U7">
        <f t="shared" si="0"/>
        <v>120</v>
      </c>
      <c r="V7">
        <f t="shared" si="1"/>
        <v>90</v>
      </c>
      <c r="W7">
        <f t="shared" si="2"/>
        <v>30</v>
      </c>
      <c r="X7" s="5">
        <f t="shared" si="3"/>
        <v>0.25</v>
      </c>
      <c r="Y7">
        <f t="shared" si="4"/>
        <v>2025</v>
      </c>
      <c r="Z7">
        <f t="shared" si="5"/>
        <v>10</v>
      </c>
      <c r="AA7" s="6"/>
      <c r="AB7" s="7"/>
      <c r="AC7" s="8"/>
    </row>
    <row r="8" spans="1:29" x14ac:dyDescent="0.3">
      <c r="A8" s="2">
        <v>1037</v>
      </c>
      <c r="B8" s="3">
        <v>45944</v>
      </c>
      <c r="C8" s="4" t="s">
        <v>61</v>
      </c>
      <c r="D8" s="4" t="s">
        <v>62</v>
      </c>
      <c r="E8" s="4" t="s">
        <v>63</v>
      </c>
      <c r="F8" s="4" t="s">
        <v>23</v>
      </c>
      <c r="G8" t="s">
        <v>64</v>
      </c>
      <c r="H8" s="2">
        <v>1</v>
      </c>
      <c r="I8" s="2">
        <v>12</v>
      </c>
      <c r="J8">
        <v>20</v>
      </c>
      <c r="K8">
        <v>10</v>
      </c>
      <c r="L8">
        <v>12</v>
      </c>
      <c r="M8" t="s">
        <v>25</v>
      </c>
      <c r="N8" t="s">
        <v>44</v>
      </c>
      <c r="O8">
        <v>55</v>
      </c>
      <c r="P8" t="s">
        <v>27</v>
      </c>
      <c r="Q8" t="s">
        <v>28</v>
      </c>
      <c r="R8" t="s">
        <v>38</v>
      </c>
      <c r="S8" t="s">
        <v>114</v>
      </c>
      <c r="T8" s="1">
        <v>46421</v>
      </c>
      <c r="U8">
        <f t="shared" si="0"/>
        <v>20</v>
      </c>
      <c r="V8">
        <f t="shared" si="1"/>
        <v>12</v>
      </c>
      <c r="W8">
        <f t="shared" si="2"/>
        <v>8</v>
      </c>
      <c r="X8" s="5">
        <f t="shared" si="3"/>
        <v>0.4</v>
      </c>
      <c r="Y8">
        <f t="shared" si="4"/>
        <v>2025</v>
      </c>
      <c r="Z8">
        <f t="shared" si="5"/>
        <v>10</v>
      </c>
      <c r="AA8" s="9"/>
      <c r="AB8" s="10"/>
      <c r="AC8" s="11"/>
    </row>
    <row r="9" spans="1:29" x14ac:dyDescent="0.3">
      <c r="A9" s="2">
        <v>1038</v>
      </c>
      <c r="B9" s="3">
        <v>45849</v>
      </c>
      <c r="C9" s="4" t="s">
        <v>31</v>
      </c>
      <c r="D9" s="4" t="s">
        <v>32</v>
      </c>
      <c r="E9" s="4" t="s">
        <v>33</v>
      </c>
      <c r="F9" s="4" t="s">
        <v>23</v>
      </c>
      <c r="G9" t="s">
        <v>34</v>
      </c>
      <c r="H9" s="2">
        <v>1</v>
      </c>
      <c r="I9" s="2">
        <v>140</v>
      </c>
      <c r="J9">
        <v>180</v>
      </c>
      <c r="K9">
        <v>5</v>
      </c>
      <c r="L9">
        <v>12</v>
      </c>
      <c r="M9" t="s">
        <v>43</v>
      </c>
      <c r="N9" t="s">
        <v>26</v>
      </c>
      <c r="O9">
        <v>19</v>
      </c>
      <c r="P9" t="s">
        <v>36</v>
      </c>
      <c r="Q9" t="s">
        <v>53</v>
      </c>
      <c r="R9" t="s">
        <v>22</v>
      </c>
      <c r="S9" t="s">
        <v>115</v>
      </c>
      <c r="T9" s="1">
        <v>46358</v>
      </c>
      <c r="U9">
        <f t="shared" si="0"/>
        <v>180</v>
      </c>
      <c r="V9">
        <f t="shared" si="1"/>
        <v>140</v>
      </c>
      <c r="W9">
        <f t="shared" si="2"/>
        <v>40</v>
      </c>
      <c r="X9" s="5">
        <f t="shared" si="3"/>
        <v>0.22222222222222221</v>
      </c>
      <c r="Y9">
        <f t="shared" si="4"/>
        <v>2025</v>
      </c>
      <c r="Z9">
        <f t="shared" si="5"/>
        <v>7</v>
      </c>
      <c r="AA9" s="9"/>
      <c r="AB9" s="10"/>
      <c r="AC9" s="11"/>
    </row>
    <row r="10" spans="1:29" x14ac:dyDescent="0.3">
      <c r="A10" s="2">
        <v>1040</v>
      </c>
      <c r="B10" s="3">
        <v>45948</v>
      </c>
      <c r="C10" s="4" t="s">
        <v>61</v>
      </c>
      <c r="D10" s="4" t="s">
        <v>62</v>
      </c>
      <c r="E10" s="4" t="s">
        <v>63</v>
      </c>
      <c r="F10" s="4" t="s">
        <v>23</v>
      </c>
      <c r="G10" t="s">
        <v>64</v>
      </c>
      <c r="H10" s="2">
        <v>1</v>
      </c>
      <c r="I10" s="2">
        <v>12</v>
      </c>
      <c r="J10">
        <v>20</v>
      </c>
      <c r="K10">
        <v>10</v>
      </c>
      <c r="L10">
        <v>12</v>
      </c>
      <c r="M10" t="s">
        <v>35</v>
      </c>
      <c r="N10" t="s">
        <v>26</v>
      </c>
      <c r="O10">
        <v>47</v>
      </c>
      <c r="P10" t="s">
        <v>45</v>
      </c>
      <c r="Q10" t="s">
        <v>28</v>
      </c>
      <c r="R10" t="s">
        <v>86</v>
      </c>
      <c r="S10" t="s">
        <v>117</v>
      </c>
      <c r="T10" s="1">
        <v>46310</v>
      </c>
      <c r="U10">
        <f t="shared" si="0"/>
        <v>20</v>
      </c>
      <c r="V10">
        <f t="shared" si="1"/>
        <v>12</v>
      </c>
      <c r="W10">
        <f t="shared" si="2"/>
        <v>8</v>
      </c>
      <c r="X10" s="5">
        <f t="shared" si="3"/>
        <v>0.4</v>
      </c>
      <c r="Y10">
        <f t="shared" si="4"/>
        <v>2025</v>
      </c>
      <c r="Z10">
        <f t="shared" si="5"/>
        <v>10</v>
      </c>
      <c r="AA10" s="9"/>
      <c r="AB10" s="10"/>
      <c r="AC10" s="11"/>
    </row>
    <row r="11" spans="1:29" x14ac:dyDescent="0.3">
      <c r="A11" s="2">
        <v>1046</v>
      </c>
      <c r="B11" s="3">
        <v>45861</v>
      </c>
      <c r="C11" s="4" t="s">
        <v>92</v>
      </c>
      <c r="D11" s="4" t="s">
        <v>48</v>
      </c>
      <c r="E11" s="4" t="s">
        <v>54</v>
      </c>
      <c r="F11" s="4" t="s">
        <v>23</v>
      </c>
      <c r="G11" t="s">
        <v>82</v>
      </c>
      <c r="H11" s="2">
        <v>1</v>
      </c>
      <c r="I11" s="2">
        <v>18</v>
      </c>
      <c r="J11">
        <v>28</v>
      </c>
      <c r="K11">
        <v>0</v>
      </c>
      <c r="L11">
        <v>12</v>
      </c>
      <c r="M11" t="s">
        <v>35</v>
      </c>
      <c r="N11" t="s">
        <v>26</v>
      </c>
      <c r="O11">
        <v>29</v>
      </c>
      <c r="P11" t="s">
        <v>45</v>
      </c>
      <c r="Q11" t="s">
        <v>37</v>
      </c>
      <c r="R11" t="s">
        <v>22</v>
      </c>
      <c r="S11" t="s">
        <v>123</v>
      </c>
      <c r="T11" s="1">
        <v>46386</v>
      </c>
      <c r="U11">
        <f t="shared" si="0"/>
        <v>28</v>
      </c>
      <c r="V11">
        <f t="shared" si="1"/>
        <v>18</v>
      </c>
      <c r="W11">
        <f t="shared" si="2"/>
        <v>10</v>
      </c>
      <c r="X11" s="5">
        <f t="shared" si="3"/>
        <v>0.35714285714285715</v>
      </c>
      <c r="Y11">
        <f t="shared" si="4"/>
        <v>2025</v>
      </c>
      <c r="Z11">
        <f t="shared" si="5"/>
        <v>7</v>
      </c>
      <c r="AA11" s="9"/>
      <c r="AB11" s="10"/>
      <c r="AC11" s="11"/>
    </row>
    <row r="12" spans="1:29" x14ac:dyDescent="0.3">
      <c r="A12" s="2">
        <v>1056</v>
      </c>
      <c r="B12" s="3">
        <v>45995</v>
      </c>
      <c r="C12" s="4" t="s">
        <v>79</v>
      </c>
      <c r="D12" s="4" t="s">
        <v>80</v>
      </c>
      <c r="E12" s="4" t="s">
        <v>81</v>
      </c>
      <c r="F12" s="4" t="s">
        <v>23</v>
      </c>
      <c r="G12" t="s">
        <v>82</v>
      </c>
      <c r="H12" s="2">
        <v>1</v>
      </c>
      <c r="I12" s="2">
        <v>80</v>
      </c>
      <c r="J12">
        <v>110</v>
      </c>
      <c r="K12">
        <v>5</v>
      </c>
      <c r="L12">
        <v>12</v>
      </c>
      <c r="M12" t="s">
        <v>35</v>
      </c>
      <c r="N12" t="s">
        <v>44</v>
      </c>
      <c r="O12">
        <v>23</v>
      </c>
      <c r="P12" t="s">
        <v>45</v>
      </c>
      <c r="Q12" t="s">
        <v>59</v>
      </c>
      <c r="R12" t="s">
        <v>54</v>
      </c>
      <c r="S12" t="s">
        <v>133</v>
      </c>
      <c r="T12" s="1">
        <v>46197</v>
      </c>
      <c r="U12">
        <f t="shared" si="0"/>
        <v>110</v>
      </c>
      <c r="V12">
        <f t="shared" si="1"/>
        <v>80</v>
      </c>
      <c r="W12">
        <f t="shared" si="2"/>
        <v>30</v>
      </c>
      <c r="X12" s="5">
        <f t="shared" si="3"/>
        <v>0.27272727272727271</v>
      </c>
      <c r="Y12">
        <f t="shared" si="4"/>
        <v>2025</v>
      </c>
      <c r="Z12">
        <f t="shared" si="5"/>
        <v>12</v>
      </c>
      <c r="AA12" s="9"/>
      <c r="AB12" s="10"/>
      <c r="AC12" s="11"/>
    </row>
    <row r="13" spans="1:29" x14ac:dyDescent="0.3">
      <c r="A13" s="2">
        <v>1072</v>
      </c>
      <c r="B13" s="3">
        <v>45833</v>
      </c>
      <c r="C13" s="4" t="s">
        <v>75</v>
      </c>
      <c r="D13" s="4" t="s">
        <v>41</v>
      </c>
      <c r="E13" s="4" t="s">
        <v>76</v>
      </c>
      <c r="F13" s="4" t="s">
        <v>23</v>
      </c>
      <c r="G13" t="s">
        <v>42</v>
      </c>
      <c r="H13" s="2">
        <v>1</v>
      </c>
      <c r="I13" s="2">
        <v>25</v>
      </c>
      <c r="J13">
        <v>35</v>
      </c>
      <c r="K13">
        <v>0</v>
      </c>
      <c r="L13">
        <v>12</v>
      </c>
      <c r="M13" t="s">
        <v>43</v>
      </c>
      <c r="N13" t="s">
        <v>26</v>
      </c>
      <c r="O13">
        <v>45</v>
      </c>
      <c r="P13" t="s">
        <v>52</v>
      </c>
      <c r="Q13" t="s">
        <v>37</v>
      </c>
      <c r="R13" t="s">
        <v>22</v>
      </c>
      <c r="S13" t="s">
        <v>149</v>
      </c>
      <c r="T13" s="1">
        <v>46219</v>
      </c>
      <c r="U13">
        <f t="shared" si="0"/>
        <v>35</v>
      </c>
      <c r="V13">
        <f t="shared" si="1"/>
        <v>25</v>
      </c>
      <c r="W13">
        <f t="shared" si="2"/>
        <v>10</v>
      </c>
      <c r="X13" s="5">
        <f t="shared" si="3"/>
        <v>0.2857142857142857</v>
      </c>
      <c r="Y13">
        <f t="shared" si="4"/>
        <v>2025</v>
      </c>
      <c r="Z13">
        <f t="shared" si="5"/>
        <v>6</v>
      </c>
      <c r="AA13" s="9"/>
      <c r="AB13" s="10"/>
      <c r="AC13" s="11"/>
    </row>
    <row r="14" spans="1:29" x14ac:dyDescent="0.3">
      <c r="A14" s="2">
        <v>1077</v>
      </c>
      <c r="B14" s="3">
        <v>45852</v>
      </c>
      <c r="C14" s="4" t="s">
        <v>84</v>
      </c>
      <c r="D14" s="4" t="s">
        <v>85</v>
      </c>
      <c r="E14" s="4" t="s">
        <v>63</v>
      </c>
      <c r="F14" s="4" t="s">
        <v>23</v>
      </c>
      <c r="G14" t="s">
        <v>82</v>
      </c>
      <c r="H14" s="2">
        <v>1</v>
      </c>
      <c r="I14" s="2">
        <v>45</v>
      </c>
      <c r="J14">
        <v>65</v>
      </c>
      <c r="K14">
        <v>5</v>
      </c>
      <c r="L14">
        <v>12</v>
      </c>
      <c r="M14" t="s">
        <v>25</v>
      </c>
      <c r="N14" t="s">
        <v>26</v>
      </c>
      <c r="O14">
        <v>63</v>
      </c>
      <c r="P14" t="s">
        <v>27</v>
      </c>
      <c r="Q14" t="s">
        <v>59</v>
      </c>
      <c r="R14" t="s">
        <v>86</v>
      </c>
      <c r="S14" t="s">
        <v>154</v>
      </c>
      <c r="T14" s="1">
        <v>46389</v>
      </c>
      <c r="U14">
        <f t="shared" si="0"/>
        <v>65</v>
      </c>
      <c r="V14">
        <f t="shared" si="1"/>
        <v>45</v>
      </c>
      <c r="W14">
        <f t="shared" si="2"/>
        <v>20</v>
      </c>
      <c r="X14" s="5">
        <f t="shared" si="3"/>
        <v>0.30769230769230771</v>
      </c>
      <c r="Y14">
        <f t="shared" si="4"/>
        <v>2025</v>
      </c>
      <c r="Z14">
        <f t="shared" si="5"/>
        <v>7</v>
      </c>
      <c r="AA14" s="9"/>
      <c r="AB14" s="10"/>
      <c r="AC14" s="11"/>
    </row>
    <row r="15" spans="1:29" x14ac:dyDescent="0.3">
      <c r="A15" s="2">
        <v>1080</v>
      </c>
      <c r="B15" s="3">
        <v>45769</v>
      </c>
      <c r="C15" s="4" t="s">
        <v>61</v>
      </c>
      <c r="D15" s="4" t="s">
        <v>62</v>
      </c>
      <c r="E15" s="4" t="s">
        <v>63</v>
      </c>
      <c r="F15" s="4" t="s">
        <v>23</v>
      </c>
      <c r="G15" t="s">
        <v>64</v>
      </c>
      <c r="H15" s="2">
        <v>1</v>
      </c>
      <c r="I15" s="2">
        <v>12</v>
      </c>
      <c r="J15">
        <v>20</v>
      </c>
      <c r="K15">
        <v>10</v>
      </c>
      <c r="L15">
        <v>12</v>
      </c>
      <c r="M15" t="s">
        <v>43</v>
      </c>
      <c r="N15" t="s">
        <v>44</v>
      </c>
      <c r="O15">
        <v>53</v>
      </c>
      <c r="P15" t="s">
        <v>27</v>
      </c>
      <c r="Q15" t="s">
        <v>53</v>
      </c>
      <c r="R15" t="s">
        <v>38</v>
      </c>
      <c r="S15" t="s">
        <v>157</v>
      </c>
      <c r="T15" s="1">
        <v>46186</v>
      </c>
      <c r="U15">
        <f t="shared" si="0"/>
        <v>20</v>
      </c>
      <c r="V15">
        <f t="shared" si="1"/>
        <v>12</v>
      </c>
      <c r="W15">
        <f t="shared" si="2"/>
        <v>8</v>
      </c>
      <c r="X15" s="5">
        <f t="shared" si="3"/>
        <v>0.4</v>
      </c>
      <c r="Y15">
        <f t="shared" si="4"/>
        <v>2025</v>
      </c>
      <c r="Z15">
        <f t="shared" si="5"/>
        <v>4</v>
      </c>
      <c r="AA15" s="9"/>
      <c r="AB15" s="10"/>
      <c r="AC15" s="11"/>
    </row>
    <row r="16" spans="1:29" x14ac:dyDescent="0.3">
      <c r="A16" s="2">
        <v>1099</v>
      </c>
      <c r="B16" s="3">
        <v>45915</v>
      </c>
      <c r="C16" s="4" t="s">
        <v>61</v>
      </c>
      <c r="D16" s="4" t="s">
        <v>62</v>
      </c>
      <c r="E16" s="4" t="s">
        <v>63</v>
      </c>
      <c r="F16" s="4" t="s">
        <v>23</v>
      </c>
      <c r="G16" t="s">
        <v>64</v>
      </c>
      <c r="H16" s="2">
        <v>1</v>
      </c>
      <c r="I16" s="2">
        <v>12</v>
      </c>
      <c r="J16">
        <v>20</v>
      </c>
      <c r="K16">
        <v>0</v>
      </c>
      <c r="L16">
        <v>12</v>
      </c>
      <c r="M16" t="s">
        <v>25</v>
      </c>
      <c r="N16" t="s">
        <v>26</v>
      </c>
      <c r="O16">
        <v>26</v>
      </c>
      <c r="P16" t="s">
        <v>27</v>
      </c>
      <c r="Q16" t="s">
        <v>28</v>
      </c>
      <c r="R16" t="s">
        <v>22</v>
      </c>
      <c r="S16" t="s">
        <v>176</v>
      </c>
      <c r="T16" s="1">
        <v>46335</v>
      </c>
      <c r="U16">
        <f t="shared" si="0"/>
        <v>20</v>
      </c>
      <c r="V16">
        <f t="shared" si="1"/>
        <v>12</v>
      </c>
      <c r="W16">
        <f t="shared" si="2"/>
        <v>8</v>
      </c>
      <c r="X16" s="5">
        <f t="shared" si="3"/>
        <v>0.4</v>
      </c>
      <c r="Y16">
        <f>YEAR(B16)</f>
        <v>2025</v>
      </c>
      <c r="Z16">
        <f t="shared" si="5"/>
        <v>9</v>
      </c>
      <c r="AA16" s="9"/>
      <c r="AB16" s="10"/>
      <c r="AC16" s="11"/>
    </row>
    <row r="17" spans="1:29" x14ac:dyDescent="0.3">
      <c r="A17" s="2">
        <v>1110</v>
      </c>
      <c r="B17" s="3">
        <v>45780</v>
      </c>
      <c r="C17" s="4" t="s">
        <v>84</v>
      </c>
      <c r="D17" s="4" t="s">
        <v>85</v>
      </c>
      <c r="E17" s="4" t="s">
        <v>63</v>
      </c>
      <c r="F17" s="4" t="s">
        <v>23</v>
      </c>
      <c r="G17" t="s">
        <v>82</v>
      </c>
      <c r="H17" s="2">
        <v>1</v>
      </c>
      <c r="I17" s="2">
        <v>45</v>
      </c>
      <c r="J17">
        <v>65</v>
      </c>
      <c r="K17">
        <v>10</v>
      </c>
      <c r="L17">
        <v>12</v>
      </c>
      <c r="M17" t="s">
        <v>35</v>
      </c>
      <c r="N17" t="s">
        <v>26</v>
      </c>
      <c r="O17">
        <v>65</v>
      </c>
      <c r="P17" t="s">
        <v>36</v>
      </c>
      <c r="Q17" t="s">
        <v>53</v>
      </c>
      <c r="R17" t="s">
        <v>29</v>
      </c>
      <c r="S17" t="s">
        <v>187</v>
      </c>
      <c r="T17" s="1">
        <v>46016</v>
      </c>
      <c r="U17">
        <f t="shared" si="0"/>
        <v>65</v>
      </c>
      <c r="V17">
        <f t="shared" si="1"/>
        <v>45</v>
      </c>
      <c r="W17">
        <f t="shared" si="2"/>
        <v>20</v>
      </c>
      <c r="X17" s="5">
        <f t="shared" si="3"/>
        <v>0.30769230769230771</v>
      </c>
      <c r="Y17">
        <f t="shared" si="4"/>
        <v>2025</v>
      </c>
      <c r="Z17">
        <f t="shared" si="5"/>
        <v>5</v>
      </c>
      <c r="AA17" s="9"/>
      <c r="AB17" s="10"/>
      <c r="AC17" s="11"/>
    </row>
    <row r="18" spans="1:29" x14ac:dyDescent="0.3">
      <c r="A18" s="2">
        <v>1115</v>
      </c>
      <c r="B18" s="3">
        <v>45776</v>
      </c>
      <c r="C18" s="4" t="s">
        <v>20</v>
      </c>
      <c r="D18" s="4" t="s">
        <v>21</v>
      </c>
      <c r="E18" s="4" t="s">
        <v>22</v>
      </c>
      <c r="F18" s="4" t="s">
        <v>23</v>
      </c>
      <c r="G18" t="s">
        <v>24</v>
      </c>
      <c r="H18" s="2">
        <v>1</v>
      </c>
      <c r="I18" s="2">
        <v>60</v>
      </c>
      <c r="J18">
        <v>85</v>
      </c>
      <c r="K18">
        <v>10</v>
      </c>
      <c r="L18">
        <v>12</v>
      </c>
      <c r="M18" t="s">
        <v>43</v>
      </c>
      <c r="N18" t="s">
        <v>44</v>
      </c>
      <c r="O18">
        <v>54</v>
      </c>
      <c r="P18" t="s">
        <v>45</v>
      </c>
      <c r="Q18" t="s">
        <v>37</v>
      </c>
      <c r="R18" t="s">
        <v>86</v>
      </c>
      <c r="S18" t="s">
        <v>192</v>
      </c>
      <c r="T18" s="1">
        <v>46380</v>
      </c>
      <c r="U18">
        <f t="shared" si="0"/>
        <v>85</v>
      </c>
      <c r="V18">
        <f t="shared" si="1"/>
        <v>60</v>
      </c>
      <c r="W18">
        <f t="shared" si="2"/>
        <v>25</v>
      </c>
      <c r="X18" s="5">
        <f t="shared" si="3"/>
        <v>0.29411764705882354</v>
      </c>
      <c r="Y18">
        <f t="shared" si="4"/>
        <v>2025</v>
      </c>
      <c r="Z18">
        <f t="shared" si="5"/>
        <v>4</v>
      </c>
      <c r="AA18" s="9"/>
      <c r="AB18" s="10"/>
      <c r="AC18" s="11"/>
    </row>
    <row r="19" spans="1:29" x14ac:dyDescent="0.3">
      <c r="A19" s="2">
        <v>1122</v>
      </c>
      <c r="B19" s="3">
        <v>45709</v>
      </c>
      <c r="C19" s="4" t="s">
        <v>98</v>
      </c>
      <c r="D19" s="4" t="s">
        <v>41</v>
      </c>
      <c r="E19" s="4" t="s">
        <v>33</v>
      </c>
      <c r="F19" s="4" t="s">
        <v>23</v>
      </c>
      <c r="G19" t="s">
        <v>82</v>
      </c>
      <c r="H19" s="2">
        <v>1</v>
      </c>
      <c r="I19" s="2">
        <v>22</v>
      </c>
      <c r="J19">
        <v>32</v>
      </c>
      <c r="K19">
        <v>5</v>
      </c>
      <c r="L19">
        <v>12</v>
      </c>
      <c r="M19" t="s">
        <v>25</v>
      </c>
      <c r="N19" t="s">
        <v>26</v>
      </c>
      <c r="O19">
        <v>18</v>
      </c>
      <c r="P19" t="s">
        <v>52</v>
      </c>
      <c r="Q19" t="s">
        <v>53</v>
      </c>
      <c r="R19" t="s">
        <v>22</v>
      </c>
      <c r="S19" t="s">
        <v>199</v>
      </c>
      <c r="T19" s="1">
        <v>46329</v>
      </c>
      <c r="U19">
        <f t="shared" si="0"/>
        <v>32</v>
      </c>
      <c r="V19">
        <f t="shared" si="1"/>
        <v>22</v>
      </c>
      <c r="W19">
        <f t="shared" si="2"/>
        <v>10</v>
      </c>
      <c r="X19" s="5">
        <f t="shared" si="3"/>
        <v>0.3125</v>
      </c>
      <c r="Y19">
        <f t="shared" si="4"/>
        <v>2025</v>
      </c>
      <c r="Z19">
        <f t="shared" si="5"/>
        <v>2</v>
      </c>
      <c r="AA19" s="9"/>
      <c r="AB19" s="10"/>
      <c r="AC19" s="11"/>
    </row>
    <row r="20" spans="1:29" x14ac:dyDescent="0.3">
      <c r="A20" s="2">
        <v>1125</v>
      </c>
      <c r="B20" s="3">
        <v>45745</v>
      </c>
      <c r="C20" s="4" t="s">
        <v>79</v>
      </c>
      <c r="D20" s="4" t="s">
        <v>80</v>
      </c>
      <c r="E20" s="4" t="s">
        <v>81</v>
      </c>
      <c r="F20" s="4" t="s">
        <v>23</v>
      </c>
      <c r="G20" t="s">
        <v>82</v>
      </c>
      <c r="H20" s="2">
        <v>1</v>
      </c>
      <c r="I20" s="2">
        <v>80</v>
      </c>
      <c r="J20">
        <v>110</v>
      </c>
      <c r="K20">
        <v>5</v>
      </c>
      <c r="L20">
        <v>12</v>
      </c>
      <c r="M20" t="s">
        <v>35</v>
      </c>
      <c r="N20" t="s">
        <v>44</v>
      </c>
      <c r="O20">
        <v>53</v>
      </c>
      <c r="P20" t="s">
        <v>36</v>
      </c>
      <c r="Q20" t="s">
        <v>53</v>
      </c>
      <c r="R20" t="s">
        <v>38</v>
      </c>
      <c r="S20" t="s">
        <v>202</v>
      </c>
      <c r="T20" s="1">
        <v>45993</v>
      </c>
      <c r="U20">
        <f t="shared" si="0"/>
        <v>110</v>
      </c>
      <c r="V20">
        <f t="shared" si="1"/>
        <v>80</v>
      </c>
      <c r="W20">
        <f t="shared" si="2"/>
        <v>30</v>
      </c>
      <c r="X20" s="5">
        <f t="shared" si="3"/>
        <v>0.27272727272727271</v>
      </c>
      <c r="Y20">
        <f t="shared" si="4"/>
        <v>2025</v>
      </c>
      <c r="Z20">
        <f t="shared" si="5"/>
        <v>3</v>
      </c>
      <c r="AA20" s="9"/>
      <c r="AB20" s="10"/>
      <c r="AC20" s="11"/>
    </row>
    <row r="21" spans="1:29" x14ac:dyDescent="0.3">
      <c r="A21" s="2">
        <v>1127</v>
      </c>
      <c r="B21" s="3">
        <v>45851</v>
      </c>
      <c r="C21" s="4" t="s">
        <v>105</v>
      </c>
      <c r="D21" s="4" t="s">
        <v>106</v>
      </c>
      <c r="E21" s="4" t="s">
        <v>22</v>
      </c>
      <c r="F21" s="4" t="s">
        <v>23</v>
      </c>
      <c r="G21" t="s">
        <v>51</v>
      </c>
      <c r="H21" s="2">
        <v>1</v>
      </c>
      <c r="I21" s="2">
        <v>95</v>
      </c>
      <c r="J21">
        <v>125</v>
      </c>
      <c r="K21">
        <v>10</v>
      </c>
      <c r="L21">
        <v>12</v>
      </c>
      <c r="M21" t="s">
        <v>43</v>
      </c>
      <c r="N21" t="s">
        <v>26</v>
      </c>
      <c r="O21">
        <v>46</v>
      </c>
      <c r="P21" t="s">
        <v>27</v>
      </c>
      <c r="Q21" t="s">
        <v>59</v>
      </c>
      <c r="R21" t="s">
        <v>54</v>
      </c>
      <c r="S21" t="s">
        <v>204</v>
      </c>
      <c r="T21" s="1">
        <v>46652</v>
      </c>
      <c r="U21">
        <f t="shared" si="0"/>
        <v>125</v>
      </c>
      <c r="V21">
        <f t="shared" si="1"/>
        <v>95</v>
      </c>
      <c r="W21">
        <f t="shared" si="2"/>
        <v>30</v>
      </c>
      <c r="X21" s="5">
        <f t="shared" si="3"/>
        <v>0.24</v>
      </c>
      <c r="Y21">
        <f t="shared" si="4"/>
        <v>2025</v>
      </c>
      <c r="Z21">
        <f t="shared" si="5"/>
        <v>7</v>
      </c>
      <c r="AA21" s="9"/>
      <c r="AB21" s="10"/>
      <c r="AC21" s="11"/>
    </row>
    <row r="22" spans="1:29" x14ac:dyDescent="0.3">
      <c r="A22" s="2">
        <v>1130</v>
      </c>
      <c r="B22" s="3">
        <v>45667</v>
      </c>
      <c r="C22" s="4" t="s">
        <v>20</v>
      </c>
      <c r="D22" s="4" t="s">
        <v>21</v>
      </c>
      <c r="E22" s="4" t="s">
        <v>22</v>
      </c>
      <c r="F22" s="4" t="s">
        <v>23</v>
      </c>
      <c r="G22" t="s">
        <v>24</v>
      </c>
      <c r="H22" s="2">
        <v>1</v>
      </c>
      <c r="I22" s="2">
        <v>60</v>
      </c>
      <c r="J22">
        <v>85</v>
      </c>
      <c r="K22">
        <v>0</v>
      </c>
      <c r="L22">
        <v>12</v>
      </c>
      <c r="M22" t="s">
        <v>43</v>
      </c>
      <c r="N22" t="s">
        <v>44</v>
      </c>
      <c r="O22">
        <v>63</v>
      </c>
      <c r="P22" t="s">
        <v>36</v>
      </c>
      <c r="Q22" t="s">
        <v>59</v>
      </c>
      <c r="R22" t="s">
        <v>38</v>
      </c>
      <c r="S22" t="s">
        <v>207</v>
      </c>
      <c r="T22" s="1">
        <v>46111</v>
      </c>
      <c r="U22">
        <f t="shared" si="0"/>
        <v>85</v>
      </c>
      <c r="V22">
        <f t="shared" si="1"/>
        <v>60</v>
      </c>
      <c r="W22">
        <f t="shared" si="2"/>
        <v>25</v>
      </c>
      <c r="X22" s="5">
        <f t="shared" si="3"/>
        <v>0.29411764705882354</v>
      </c>
      <c r="Y22">
        <f t="shared" si="4"/>
        <v>2025</v>
      </c>
      <c r="Z22">
        <f t="shared" si="5"/>
        <v>1</v>
      </c>
      <c r="AA22" s="9"/>
      <c r="AB22" s="10"/>
      <c r="AC22" s="11"/>
    </row>
    <row r="23" spans="1:29" x14ac:dyDescent="0.3">
      <c r="A23" s="2">
        <v>1134</v>
      </c>
      <c r="B23" s="3">
        <v>45760</v>
      </c>
      <c r="C23" s="4" t="s">
        <v>134</v>
      </c>
      <c r="D23" s="4" t="s">
        <v>21</v>
      </c>
      <c r="E23" s="4" t="s">
        <v>29</v>
      </c>
      <c r="F23" s="4" t="s">
        <v>50</v>
      </c>
      <c r="G23" t="s">
        <v>24</v>
      </c>
      <c r="H23" s="2">
        <v>1</v>
      </c>
      <c r="I23" s="2">
        <v>70</v>
      </c>
      <c r="J23">
        <v>95</v>
      </c>
      <c r="K23">
        <v>10</v>
      </c>
      <c r="L23">
        <v>12</v>
      </c>
      <c r="M23" t="s">
        <v>43</v>
      </c>
      <c r="N23" t="s">
        <v>44</v>
      </c>
      <c r="O23">
        <v>40</v>
      </c>
      <c r="P23" t="s">
        <v>27</v>
      </c>
      <c r="Q23" t="s">
        <v>66</v>
      </c>
      <c r="R23" t="s">
        <v>54</v>
      </c>
      <c r="S23" t="s">
        <v>211</v>
      </c>
      <c r="T23" s="1">
        <v>45942</v>
      </c>
      <c r="U23">
        <f t="shared" si="0"/>
        <v>95</v>
      </c>
      <c r="V23">
        <f t="shared" si="1"/>
        <v>70</v>
      </c>
      <c r="W23">
        <f t="shared" si="2"/>
        <v>25</v>
      </c>
      <c r="X23" s="5">
        <f t="shared" si="3"/>
        <v>0.26315789473684209</v>
      </c>
      <c r="Y23">
        <f t="shared" si="4"/>
        <v>2025</v>
      </c>
      <c r="Z23">
        <f t="shared" si="5"/>
        <v>4</v>
      </c>
      <c r="AA23" s="9"/>
      <c r="AB23" s="10"/>
      <c r="AC23" s="11"/>
    </row>
    <row r="24" spans="1:29" x14ac:dyDescent="0.3">
      <c r="A24" s="2">
        <v>1139</v>
      </c>
      <c r="B24" s="3">
        <v>45848</v>
      </c>
      <c r="C24" s="4" t="s">
        <v>47</v>
      </c>
      <c r="D24" s="4" t="s">
        <v>48</v>
      </c>
      <c r="E24" s="4" t="s">
        <v>49</v>
      </c>
      <c r="F24" s="4" t="s">
        <v>50</v>
      </c>
      <c r="G24" t="s">
        <v>51</v>
      </c>
      <c r="H24" s="2">
        <v>1</v>
      </c>
      <c r="I24" s="2">
        <v>35</v>
      </c>
      <c r="J24">
        <v>50</v>
      </c>
      <c r="K24">
        <v>0</v>
      </c>
      <c r="L24">
        <v>12</v>
      </c>
      <c r="M24" t="s">
        <v>25</v>
      </c>
      <c r="N24" t="s">
        <v>44</v>
      </c>
      <c r="O24">
        <v>43</v>
      </c>
      <c r="P24" t="s">
        <v>45</v>
      </c>
      <c r="Q24" t="s">
        <v>28</v>
      </c>
      <c r="R24" t="s">
        <v>54</v>
      </c>
      <c r="S24" t="s">
        <v>216</v>
      </c>
      <c r="T24" s="1">
        <v>46480</v>
      </c>
      <c r="U24">
        <f t="shared" si="0"/>
        <v>50</v>
      </c>
      <c r="V24">
        <f t="shared" si="1"/>
        <v>35</v>
      </c>
      <c r="W24">
        <f t="shared" si="2"/>
        <v>15</v>
      </c>
      <c r="X24" s="5">
        <f t="shared" si="3"/>
        <v>0.3</v>
      </c>
      <c r="Y24">
        <f t="shared" si="4"/>
        <v>2025</v>
      </c>
      <c r="Z24">
        <f t="shared" si="5"/>
        <v>7</v>
      </c>
      <c r="AA24" s="12"/>
      <c r="AB24" s="13"/>
      <c r="AC24" s="14"/>
    </row>
    <row r="25" spans="1:29" x14ac:dyDescent="0.3">
      <c r="A25" s="2">
        <v>1151</v>
      </c>
      <c r="B25" s="3">
        <v>45825</v>
      </c>
      <c r="C25" s="4" t="s">
        <v>47</v>
      </c>
      <c r="D25" s="4" t="s">
        <v>48</v>
      </c>
      <c r="E25" s="4" t="s">
        <v>49</v>
      </c>
      <c r="F25" s="4" t="s">
        <v>50</v>
      </c>
      <c r="G25" t="s">
        <v>51</v>
      </c>
      <c r="H25" s="2">
        <v>1</v>
      </c>
      <c r="I25" s="2">
        <v>35</v>
      </c>
      <c r="J25">
        <v>50</v>
      </c>
      <c r="K25">
        <v>0</v>
      </c>
      <c r="L25">
        <v>12</v>
      </c>
      <c r="M25" t="s">
        <v>35</v>
      </c>
      <c r="N25" t="s">
        <v>44</v>
      </c>
      <c r="O25">
        <v>29</v>
      </c>
      <c r="P25" t="s">
        <v>45</v>
      </c>
      <c r="Q25" t="s">
        <v>28</v>
      </c>
      <c r="R25" t="s">
        <v>29</v>
      </c>
      <c r="S25" t="s">
        <v>227</v>
      </c>
      <c r="T25" s="1">
        <v>46425</v>
      </c>
      <c r="U25">
        <f t="shared" si="0"/>
        <v>50</v>
      </c>
      <c r="V25">
        <f t="shared" si="1"/>
        <v>35</v>
      </c>
      <c r="W25">
        <f t="shared" si="2"/>
        <v>15</v>
      </c>
      <c r="X25" s="5">
        <f t="shared" si="3"/>
        <v>0.3</v>
      </c>
      <c r="Y25">
        <f t="shared" si="4"/>
        <v>2025</v>
      </c>
      <c r="Z25">
        <f t="shared" si="5"/>
        <v>6</v>
      </c>
    </row>
    <row r="26" spans="1:29" x14ac:dyDescent="0.3">
      <c r="A26" s="2">
        <v>1153</v>
      </c>
      <c r="B26" s="3">
        <v>45983</v>
      </c>
      <c r="C26" s="4" t="s">
        <v>79</v>
      </c>
      <c r="D26" s="4" t="s">
        <v>80</v>
      </c>
      <c r="E26" s="4" t="s">
        <v>81</v>
      </c>
      <c r="F26" s="4" t="s">
        <v>23</v>
      </c>
      <c r="G26" t="s">
        <v>82</v>
      </c>
      <c r="H26" s="2">
        <v>1</v>
      </c>
      <c r="I26" s="2">
        <v>80</v>
      </c>
      <c r="J26">
        <v>110</v>
      </c>
      <c r="K26">
        <v>10</v>
      </c>
      <c r="L26">
        <v>12</v>
      </c>
      <c r="M26" t="s">
        <v>43</v>
      </c>
      <c r="N26" t="s">
        <v>26</v>
      </c>
      <c r="O26">
        <v>54</v>
      </c>
      <c r="P26" t="s">
        <v>27</v>
      </c>
      <c r="Q26" t="s">
        <v>59</v>
      </c>
      <c r="R26" t="s">
        <v>54</v>
      </c>
      <c r="S26" t="s">
        <v>229</v>
      </c>
      <c r="T26" s="1">
        <v>46579</v>
      </c>
      <c r="U26">
        <f t="shared" si="0"/>
        <v>110</v>
      </c>
      <c r="V26">
        <f t="shared" si="1"/>
        <v>80</v>
      </c>
      <c r="W26">
        <f t="shared" si="2"/>
        <v>30</v>
      </c>
      <c r="X26" s="5">
        <f t="shared" si="3"/>
        <v>0.27272727272727271</v>
      </c>
      <c r="Y26">
        <f t="shared" si="4"/>
        <v>2025</v>
      </c>
      <c r="Z26">
        <f t="shared" si="5"/>
        <v>11</v>
      </c>
    </row>
    <row r="27" spans="1:29" x14ac:dyDescent="0.3">
      <c r="A27" s="2">
        <v>1160</v>
      </c>
      <c r="B27" s="3">
        <v>45661</v>
      </c>
      <c r="C27" s="4" t="s">
        <v>98</v>
      </c>
      <c r="D27" s="4" t="s">
        <v>41</v>
      </c>
      <c r="E27" s="4" t="s">
        <v>33</v>
      </c>
      <c r="F27" s="4" t="s">
        <v>23</v>
      </c>
      <c r="G27" t="s">
        <v>82</v>
      </c>
      <c r="H27" s="2">
        <v>1</v>
      </c>
      <c r="I27" s="2">
        <v>22</v>
      </c>
      <c r="J27">
        <v>32</v>
      </c>
      <c r="K27">
        <v>0</v>
      </c>
      <c r="L27">
        <v>12</v>
      </c>
      <c r="M27" t="s">
        <v>35</v>
      </c>
      <c r="N27" t="s">
        <v>44</v>
      </c>
      <c r="O27">
        <v>49</v>
      </c>
      <c r="P27" t="s">
        <v>45</v>
      </c>
      <c r="Q27" t="s">
        <v>66</v>
      </c>
      <c r="R27" t="s">
        <v>86</v>
      </c>
      <c r="S27" t="s">
        <v>236</v>
      </c>
      <c r="T27" s="1">
        <v>45967</v>
      </c>
      <c r="U27">
        <f t="shared" si="0"/>
        <v>32</v>
      </c>
      <c r="V27">
        <f t="shared" si="1"/>
        <v>22</v>
      </c>
      <c r="W27">
        <f t="shared" si="2"/>
        <v>10</v>
      </c>
      <c r="X27" s="5">
        <f t="shared" si="3"/>
        <v>0.3125</v>
      </c>
      <c r="Y27">
        <f t="shared" si="4"/>
        <v>2025</v>
      </c>
      <c r="Z27">
        <f t="shared" si="5"/>
        <v>1</v>
      </c>
    </row>
    <row r="28" spans="1:29" x14ac:dyDescent="0.3">
      <c r="A28" s="2">
        <v>1161</v>
      </c>
      <c r="B28" s="3">
        <v>45844</v>
      </c>
      <c r="C28" s="4" t="s">
        <v>20</v>
      </c>
      <c r="D28" s="4" t="s">
        <v>21</v>
      </c>
      <c r="E28" s="4" t="s">
        <v>22</v>
      </c>
      <c r="F28" s="4" t="s">
        <v>23</v>
      </c>
      <c r="G28" t="s">
        <v>24</v>
      </c>
      <c r="H28" s="2">
        <v>1</v>
      </c>
      <c r="I28" s="2">
        <v>60</v>
      </c>
      <c r="J28">
        <v>85</v>
      </c>
      <c r="K28">
        <v>5</v>
      </c>
      <c r="L28">
        <v>12</v>
      </c>
      <c r="M28" t="s">
        <v>25</v>
      </c>
      <c r="N28" t="s">
        <v>44</v>
      </c>
      <c r="O28">
        <v>31</v>
      </c>
      <c r="P28" t="s">
        <v>36</v>
      </c>
      <c r="Q28" t="s">
        <v>66</v>
      </c>
      <c r="R28" t="s">
        <v>54</v>
      </c>
      <c r="S28" t="s">
        <v>237</v>
      </c>
      <c r="T28" s="1">
        <v>46269</v>
      </c>
      <c r="U28">
        <f t="shared" si="0"/>
        <v>85</v>
      </c>
      <c r="V28">
        <f t="shared" si="1"/>
        <v>60</v>
      </c>
      <c r="W28">
        <f t="shared" si="2"/>
        <v>25</v>
      </c>
      <c r="X28" s="5">
        <f t="shared" si="3"/>
        <v>0.29411764705882354</v>
      </c>
      <c r="Y28">
        <f t="shared" si="4"/>
        <v>2025</v>
      </c>
      <c r="Z28">
        <f t="shared" si="5"/>
        <v>7</v>
      </c>
    </row>
    <row r="29" spans="1:29" x14ac:dyDescent="0.3">
      <c r="A29" s="2">
        <v>1163</v>
      </c>
      <c r="B29" s="3">
        <v>45667</v>
      </c>
      <c r="C29" s="4" t="s">
        <v>56</v>
      </c>
      <c r="D29" s="4" t="s">
        <v>57</v>
      </c>
      <c r="E29" s="4" t="s">
        <v>58</v>
      </c>
      <c r="F29" s="4" t="s">
        <v>23</v>
      </c>
      <c r="G29" t="s">
        <v>24</v>
      </c>
      <c r="H29" s="2">
        <v>1</v>
      </c>
      <c r="I29" s="2">
        <v>75</v>
      </c>
      <c r="J29">
        <v>100</v>
      </c>
      <c r="K29">
        <v>5</v>
      </c>
      <c r="L29">
        <v>12</v>
      </c>
      <c r="M29" t="s">
        <v>43</v>
      </c>
      <c r="N29" t="s">
        <v>44</v>
      </c>
      <c r="O29">
        <v>58</v>
      </c>
      <c r="P29" t="s">
        <v>36</v>
      </c>
      <c r="Q29" t="s">
        <v>53</v>
      </c>
      <c r="R29" t="s">
        <v>29</v>
      </c>
      <c r="S29" t="s">
        <v>239</v>
      </c>
      <c r="T29" s="1">
        <v>45952</v>
      </c>
      <c r="U29">
        <f t="shared" si="0"/>
        <v>100</v>
      </c>
      <c r="V29">
        <f t="shared" si="1"/>
        <v>75</v>
      </c>
      <c r="W29">
        <f t="shared" si="2"/>
        <v>25</v>
      </c>
      <c r="X29" s="5">
        <f t="shared" si="3"/>
        <v>0.25</v>
      </c>
      <c r="Y29">
        <f t="shared" si="4"/>
        <v>2025</v>
      </c>
      <c r="Z29">
        <f t="shared" si="5"/>
        <v>1</v>
      </c>
    </row>
    <row r="30" spans="1:29" x14ac:dyDescent="0.3">
      <c r="A30" s="2">
        <v>1169</v>
      </c>
      <c r="B30" s="3">
        <v>45797</v>
      </c>
      <c r="C30" s="4" t="s">
        <v>40</v>
      </c>
      <c r="D30" s="4" t="s">
        <v>41</v>
      </c>
      <c r="E30" s="4" t="s">
        <v>33</v>
      </c>
      <c r="F30" s="4" t="s">
        <v>23</v>
      </c>
      <c r="G30" t="s">
        <v>42</v>
      </c>
      <c r="H30" s="2">
        <v>1</v>
      </c>
      <c r="I30" s="2">
        <v>24</v>
      </c>
      <c r="J30">
        <v>34</v>
      </c>
      <c r="K30">
        <v>5</v>
      </c>
      <c r="L30">
        <v>12</v>
      </c>
      <c r="M30" t="s">
        <v>35</v>
      </c>
      <c r="N30" t="s">
        <v>26</v>
      </c>
      <c r="O30">
        <v>49</v>
      </c>
      <c r="P30" t="s">
        <v>52</v>
      </c>
      <c r="Q30" t="s">
        <v>53</v>
      </c>
      <c r="R30" t="s">
        <v>29</v>
      </c>
      <c r="S30" t="s">
        <v>245</v>
      </c>
      <c r="T30" s="1">
        <v>46128</v>
      </c>
      <c r="U30">
        <f t="shared" si="0"/>
        <v>34</v>
      </c>
      <c r="V30">
        <f t="shared" si="1"/>
        <v>24</v>
      </c>
      <c r="W30">
        <f t="shared" si="2"/>
        <v>10</v>
      </c>
      <c r="X30" s="5">
        <f t="shared" si="3"/>
        <v>0.29411764705882354</v>
      </c>
      <c r="Y30">
        <f t="shared" si="4"/>
        <v>2025</v>
      </c>
      <c r="Z30">
        <f t="shared" si="5"/>
        <v>5</v>
      </c>
    </row>
    <row r="31" spans="1:29" x14ac:dyDescent="0.3">
      <c r="A31" s="2">
        <v>1170</v>
      </c>
      <c r="B31" s="3">
        <v>45742</v>
      </c>
      <c r="C31" s="4" t="s">
        <v>105</v>
      </c>
      <c r="D31" s="4" t="s">
        <v>106</v>
      </c>
      <c r="E31" s="4" t="s">
        <v>22</v>
      </c>
      <c r="F31" s="4" t="s">
        <v>23</v>
      </c>
      <c r="G31" t="s">
        <v>51</v>
      </c>
      <c r="H31" s="2">
        <v>1</v>
      </c>
      <c r="I31" s="2">
        <v>95</v>
      </c>
      <c r="J31">
        <v>125</v>
      </c>
      <c r="K31">
        <v>0</v>
      </c>
      <c r="L31">
        <v>12</v>
      </c>
      <c r="M31" t="s">
        <v>35</v>
      </c>
      <c r="N31" t="s">
        <v>44</v>
      </c>
      <c r="O31">
        <v>56</v>
      </c>
      <c r="P31" t="s">
        <v>27</v>
      </c>
      <c r="Q31" t="s">
        <v>28</v>
      </c>
      <c r="R31" t="s">
        <v>22</v>
      </c>
      <c r="S31" t="s">
        <v>246</v>
      </c>
      <c r="T31" s="1">
        <v>45924</v>
      </c>
      <c r="U31">
        <f t="shared" si="0"/>
        <v>125</v>
      </c>
      <c r="V31">
        <f t="shared" si="1"/>
        <v>95</v>
      </c>
      <c r="W31">
        <f t="shared" si="2"/>
        <v>30</v>
      </c>
      <c r="X31" s="5">
        <f t="shared" si="3"/>
        <v>0.24</v>
      </c>
      <c r="Y31">
        <f t="shared" si="4"/>
        <v>2025</v>
      </c>
      <c r="Z31">
        <f t="shared" si="5"/>
        <v>3</v>
      </c>
    </row>
    <row r="32" spans="1:29" x14ac:dyDescent="0.3">
      <c r="A32" s="2">
        <v>1176</v>
      </c>
      <c r="B32" s="3">
        <v>45665</v>
      </c>
      <c r="C32" s="4" t="s">
        <v>20</v>
      </c>
      <c r="D32" s="4" t="s">
        <v>21</v>
      </c>
      <c r="E32" s="4" t="s">
        <v>22</v>
      </c>
      <c r="F32" s="4" t="s">
        <v>23</v>
      </c>
      <c r="G32" t="s">
        <v>24</v>
      </c>
      <c r="H32" s="2">
        <v>1</v>
      </c>
      <c r="I32" s="2">
        <v>60</v>
      </c>
      <c r="J32">
        <v>85</v>
      </c>
      <c r="K32">
        <v>5</v>
      </c>
      <c r="L32">
        <v>12</v>
      </c>
      <c r="M32" t="s">
        <v>35</v>
      </c>
      <c r="N32" t="s">
        <v>44</v>
      </c>
      <c r="O32">
        <v>38</v>
      </c>
      <c r="P32" t="s">
        <v>36</v>
      </c>
      <c r="Q32" t="s">
        <v>59</v>
      </c>
      <c r="R32" t="s">
        <v>54</v>
      </c>
      <c r="S32" t="s">
        <v>252</v>
      </c>
      <c r="T32" s="1">
        <v>46263</v>
      </c>
      <c r="U32">
        <f t="shared" si="0"/>
        <v>85</v>
      </c>
      <c r="V32">
        <f t="shared" si="1"/>
        <v>60</v>
      </c>
      <c r="W32">
        <f t="shared" si="2"/>
        <v>25</v>
      </c>
      <c r="X32" s="5">
        <f t="shared" si="3"/>
        <v>0.29411764705882354</v>
      </c>
      <c r="Y32">
        <f t="shared" si="4"/>
        <v>2025</v>
      </c>
      <c r="Z32">
        <f t="shared" si="5"/>
        <v>1</v>
      </c>
    </row>
    <row r="33" spans="1:26" x14ac:dyDescent="0.3">
      <c r="A33" s="2">
        <v>1182</v>
      </c>
      <c r="B33" s="3">
        <v>45810</v>
      </c>
      <c r="C33" s="4" t="s">
        <v>84</v>
      </c>
      <c r="D33" s="4" t="s">
        <v>85</v>
      </c>
      <c r="E33" s="4" t="s">
        <v>63</v>
      </c>
      <c r="F33" s="4" t="s">
        <v>23</v>
      </c>
      <c r="G33" t="s">
        <v>82</v>
      </c>
      <c r="H33" s="2">
        <v>1</v>
      </c>
      <c r="I33" s="2">
        <v>45</v>
      </c>
      <c r="J33">
        <v>65</v>
      </c>
      <c r="K33">
        <v>0</v>
      </c>
      <c r="L33">
        <v>12</v>
      </c>
      <c r="M33" t="s">
        <v>25</v>
      </c>
      <c r="N33" t="s">
        <v>26</v>
      </c>
      <c r="O33">
        <v>24</v>
      </c>
      <c r="P33" t="s">
        <v>52</v>
      </c>
      <c r="Q33" t="s">
        <v>28</v>
      </c>
      <c r="R33" t="s">
        <v>29</v>
      </c>
      <c r="S33" t="s">
        <v>258</v>
      </c>
      <c r="T33" s="1">
        <v>46554</v>
      </c>
      <c r="U33">
        <f t="shared" si="0"/>
        <v>65</v>
      </c>
      <c r="V33">
        <f t="shared" si="1"/>
        <v>45</v>
      </c>
      <c r="W33">
        <f t="shared" si="2"/>
        <v>20</v>
      </c>
      <c r="X33" s="5">
        <f t="shared" si="3"/>
        <v>0.30769230769230771</v>
      </c>
      <c r="Y33">
        <f t="shared" si="4"/>
        <v>2025</v>
      </c>
      <c r="Z33">
        <f t="shared" si="5"/>
        <v>6</v>
      </c>
    </row>
    <row r="34" spans="1:26" x14ac:dyDescent="0.3">
      <c r="A34" s="2">
        <v>1185</v>
      </c>
      <c r="B34" s="3">
        <v>45796</v>
      </c>
      <c r="C34" s="4" t="s">
        <v>108</v>
      </c>
      <c r="D34" s="4" t="s">
        <v>32</v>
      </c>
      <c r="E34" s="4" t="s">
        <v>109</v>
      </c>
      <c r="F34" s="4" t="s">
        <v>23</v>
      </c>
      <c r="G34" t="s">
        <v>82</v>
      </c>
      <c r="H34" s="2">
        <v>1</v>
      </c>
      <c r="I34" s="2">
        <v>90</v>
      </c>
      <c r="J34">
        <v>120</v>
      </c>
      <c r="K34">
        <v>10</v>
      </c>
      <c r="L34">
        <v>12</v>
      </c>
      <c r="M34" t="s">
        <v>35</v>
      </c>
      <c r="N34" t="s">
        <v>44</v>
      </c>
      <c r="O34">
        <v>53</v>
      </c>
      <c r="P34" t="s">
        <v>36</v>
      </c>
      <c r="Q34" t="s">
        <v>66</v>
      </c>
      <c r="R34" t="s">
        <v>22</v>
      </c>
      <c r="S34" t="s">
        <v>261</v>
      </c>
      <c r="T34" s="1">
        <v>46620</v>
      </c>
      <c r="U34">
        <f t="shared" si="0"/>
        <v>120</v>
      </c>
      <c r="V34">
        <f t="shared" si="1"/>
        <v>90</v>
      </c>
      <c r="W34">
        <f t="shared" si="2"/>
        <v>30</v>
      </c>
      <c r="X34" s="5">
        <f t="shared" si="3"/>
        <v>0.25</v>
      </c>
      <c r="Y34">
        <f t="shared" si="4"/>
        <v>2025</v>
      </c>
      <c r="Z34">
        <f t="shared" si="5"/>
        <v>5</v>
      </c>
    </row>
    <row r="35" spans="1:26" x14ac:dyDescent="0.3">
      <c r="A35" s="2">
        <v>1188</v>
      </c>
      <c r="B35" s="3">
        <v>45787</v>
      </c>
      <c r="C35" s="4" t="s">
        <v>69</v>
      </c>
      <c r="D35" s="4" t="s">
        <v>48</v>
      </c>
      <c r="E35" s="4" t="s">
        <v>70</v>
      </c>
      <c r="F35" s="4" t="s">
        <v>50</v>
      </c>
      <c r="G35" t="s">
        <v>71</v>
      </c>
      <c r="H35" s="2">
        <v>1</v>
      </c>
      <c r="I35" s="2">
        <v>25</v>
      </c>
      <c r="J35">
        <v>38</v>
      </c>
      <c r="K35">
        <v>10</v>
      </c>
      <c r="L35">
        <v>12</v>
      </c>
      <c r="M35" t="s">
        <v>25</v>
      </c>
      <c r="N35" t="s">
        <v>26</v>
      </c>
      <c r="O35">
        <v>74</v>
      </c>
      <c r="P35" t="s">
        <v>45</v>
      </c>
      <c r="Q35" t="s">
        <v>66</v>
      </c>
      <c r="R35" t="s">
        <v>22</v>
      </c>
      <c r="S35" t="s">
        <v>264</v>
      </c>
      <c r="T35" s="1">
        <v>46162</v>
      </c>
      <c r="U35">
        <f t="shared" si="0"/>
        <v>38</v>
      </c>
      <c r="V35">
        <f t="shared" si="1"/>
        <v>25</v>
      </c>
      <c r="W35">
        <f t="shared" si="2"/>
        <v>13</v>
      </c>
      <c r="X35" s="5">
        <f t="shared" si="3"/>
        <v>0.34210526315789475</v>
      </c>
      <c r="Y35">
        <f t="shared" si="4"/>
        <v>2025</v>
      </c>
      <c r="Z35">
        <f t="shared" si="5"/>
        <v>5</v>
      </c>
    </row>
    <row r="36" spans="1:26" x14ac:dyDescent="0.3">
      <c r="A36" s="2">
        <v>1199</v>
      </c>
      <c r="B36" s="3">
        <v>45673</v>
      </c>
      <c r="C36" s="4" t="s">
        <v>31</v>
      </c>
      <c r="D36" s="4" t="s">
        <v>32</v>
      </c>
      <c r="E36" s="4" t="s">
        <v>33</v>
      </c>
      <c r="F36" s="4" t="s">
        <v>23</v>
      </c>
      <c r="G36" t="s">
        <v>34</v>
      </c>
      <c r="H36" s="2">
        <v>1</v>
      </c>
      <c r="I36" s="2">
        <v>140</v>
      </c>
      <c r="J36">
        <v>180</v>
      </c>
      <c r="K36">
        <v>10</v>
      </c>
      <c r="L36">
        <v>12</v>
      </c>
      <c r="M36" t="s">
        <v>35</v>
      </c>
      <c r="N36" t="s">
        <v>44</v>
      </c>
      <c r="O36">
        <v>60</v>
      </c>
      <c r="P36" t="s">
        <v>52</v>
      </c>
      <c r="Q36" t="s">
        <v>66</v>
      </c>
      <c r="R36" t="s">
        <v>22</v>
      </c>
      <c r="S36" t="s">
        <v>275</v>
      </c>
      <c r="T36" s="1">
        <v>46141</v>
      </c>
      <c r="U36">
        <f t="shared" si="0"/>
        <v>180</v>
      </c>
      <c r="V36">
        <f t="shared" si="1"/>
        <v>140</v>
      </c>
      <c r="W36">
        <f t="shared" si="2"/>
        <v>40</v>
      </c>
      <c r="X36" s="5">
        <f t="shared" si="3"/>
        <v>0.22222222222222221</v>
      </c>
      <c r="Y36">
        <f t="shared" si="4"/>
        <v>2025</v>
      </c>
      <c r="Z36">
        <f t="shared" si="5"/>
        <v>1</v>
      </c>
    </row>
    <row r="37" spans="1:26" x14ac:dyDescent="0.3">
      <c r="A37" s="2">
        <v>1201</v>
      </c>
      <c r="B37" s="3">
        <v>45864</v>
      </c>
      <c r="C37" s="4" t="s">
        <v>134</v>
      </c>
      <c r="D37" s="4" t="s">
        <v>21</v>
      </c>
      <c r="E37" s="4" t="s">
        <v>29</v>
      </c>
      <c r="F37" s="4" t="s">
        <v>50</v>
      </c>
      <c r="G37" t="s">
        <v>24</v>
      </c>
      <c r="H37" s="2">
        <v>1</v>
      </c>
      <c r="I37" s="2">
        <v>70</v>
      </c>
      <c r="J37">
        <v>95</v>
      </c>
      <c r="K37">
        <v>5</v>
      </c>
      <c r="L37">
        <v>12</v>
      </c>
      <c r="M37" t="s">
        <v>43</v>
      </c>
      <c r="N37" t="s">
        <v>44</v>
      </c>
      <c r="O37">
        <v>21</v>
      </c>
      <c r="P37" t="s">
        <v>45</v>
      </c>
      <c r="Q37" t="s">
        <v>59</v>
      </c>
      <c r="R37" t="s">
        <v>22</v>
      </c>
      <c r="S37" t="s">
        <v>277</v>
      </c>
      <c r="T37" s="1">
        <v>46390</v>
      </c>
      <c r="U37">
        <f t="shared" si="0"/>
        <v>95</v>
      </c>
      <c r="V37">
        <f t="shared" si="1"/>
        <v>70</v>
      </c>
      <c r="W37">
        <f t="shared" si="2"/>
        <v>25</v>
      </c>
      <c r="X37" s="5">
        <f t="shared" si="3"/>
        <v>0.26315789473684209</v>
      </c>
      <c r="Y37">
        <f t="shared" si="4"/>
        <v>2025</v>
      </c>
      <c r="Z37">
        <f t="shared" si="5"/>
        <v>7</v>
      </c>
    </row>
    <row r="38" spans="1:26" x14ac:dyDescent="0.3">
      <c r="A38" s="2">
        <v>1208</v>
      </c>
      <c r="B38" s="3">
        <v>45732</v>
      </c>
      <c r="C38" s="4" t="s">
        <v>61</v>
      </c>
      <c r="D38" s="4" t="s">
        <v>62</v>
      </c>
      <c r="E38" s="4" t="s">
        <v>63</v>
      </c>
      <c r="F38" s="4" t="s">
        <v>23</v>
      </c>
      <c r="G38" t="s">
        <v>64</v>
      </c>
      <c r="H38" s="2">
        <v>1</v>
      </c>
      <c r="I38" s="2">
        <v>12</v>
      </c>
      <c r="J38">
        <v>20</v>
      </c>
      <c r="K38">
        <v>5</v>
      </c>
      <c r="L38">
        <v>12</v>
      </c>
      <c r="M38" t="s">
        <v>35</v>
      </c>
      <c r="N38" t="s">
        <v>26</v>
      </c>
      <c r="O38">
        <v>55</v>
      </c>
      <c r="P38" t="s">
        <v>27</v>
      </c>
      <c r="Q38" t="s">
        <v>66</v>
      </c>
      <c r="R38" t="s">
        <v>29</v>
      </c>
      <c r="S38" t="s">
        <v>284</v>
      </c>
      <c r="T38" s="1">
        <v>46339</v>
      </c>
      <c r="U38">
        <f t="shared" si="0"/>
        <v>20</v>
      </c>
      <c r="V38">
        <f t="shared" si="1"/>
        <v>12</v>
      </c>
      <c r="W38">
        <f t="shared" si="2"/>
        <v>8</v>
      </c>
      <c r="X38" s="5">
        <f t="shared" si="3"/>
        <v>0.4</v>
      </c>
      <c r="Y38">
        <f t="shared" si="4"/>
        <v>2025</v>
      </c>
      <c r="Z38">
        <f t="shared" si="5"/>
        <v>3</v>
      </c>
    </row>
    <row r="39" spans="1:26" x14ac:dyDescent="0.3">
      <c r="A39" s="2">
        <v>1216</v>
      </c>
      <c r="B39" s="3">
        <v>46014</v>
      </c>
      <c r="C39" s="4" t="s">
        <v>98</v>
      </c>
      <c r="D39" s="4" t="s">
        <v>41</v>
      </c>
      <c r="E39" s="4" t="s">
        <v>33</v>
      </c>
      <c r="F39" s="4" t="s">
        <v>23</v>
      </c>
      <c r="G39" t="s">
        <v>82</v>
      </c>
      <c r="H39" s="2">
        <v>1</v>
      </c>
      <c r="I39" s="2">
        <v>22</v>
      </c>
      <c r="J39">
        <v>32</v>
      </c>
      <c r="K39">
        <v>10</v>
      </c>
      <c r="L39">
        <v>12</v>
      </c>
      <c r="M39" t="s">
        <v>43</v>
      </c>
      <c r="N39" t="s">
        <v>26</v>
      </c>
      <c r="O39">
        <v>26</v>
      </c>
      <c r="P39" t="s">
        <v>52</v>
      </c>
      <c r="Q39" t="s">
        <v>66</v>
      </c>
      <c r="R39" t="s">
        <v>86</v>
      </c>
      <c r="S39" t="s">
        <v>292</v>
      </c>
      <c r="T39" s="1">
        <v>46561</v>
      </c>
      <c r="U39">
        <f t="shared" si="0"/>
        <v>32</v>
      </c>
      <c r="V39">
        <f t="shared" si="1"/>
        <v>22</v>
      </c>
      <c r="W39">
        <f t="shared" si="2"/>
        <v>10</v>
      </c>
      <c r="X39" s="5">
        <f t="shared" si="3"/>
        <v>0.3125</v>
      </c>
      <c r="Y39">
        <f t="shared" si="4"/>
        <v>2025</v>
      </c>
      <c r="Z39">
        <f t="shared" si="5"/>
        <v>12</v>
      </c>
    </row>
    <row r="40" spans="1:26" x14ac:dyDescent="0.3">
      <c r="A40" s="2">
        <v>1218</v>
      </c>
      <c r="B40" s="3">
        <v>45675</v>
      </c>
      <c r="C40" s="4" t="s">
        <v>40</v>
      </c>
      <c r="D40" s="4" t="s">
        <v>41</v>
      </c>
      <c r="E40" s="4" t="s">
        <v>33</v>
      </c>
      <c r="F40" s="4" t="s">
        <v>23</v>
      </c>
      <c r="G40" t="s">
        <v>42</v>
      </c>
      <c r="H40" s="2">
        <v>1</v>
      </c>
      <c r="I40" s="2">
        <v>24</v>
      </c>
      <c r="J40">
        <v>34</v>
      </c>
      <c r="K40">
        <v>10</v>
      </c>
      <c r="L40">
        <v>12</v>
      </c>
      <c r="M40" t="s">
        <v>25</v>
      </c>
      <c r="N40" t="s">
        <v>26</v>
      </c>
      <c r="O40">
        <v>57</v>
      </c>
      <c r="P40" t="s">
        <v>52</v>
      </c>
      <c r="Q40" t="s">
        <v>53</v>
      </c>
      <c r="R40" t="s">
        <v>29</v>
      </c>
      <c r="S40" t="s">
        <v>294</v>
      </c>
      <c r="T40" s="1">
        <v>46184</v>
      </c>
      <c r="U40">
        <f t="shared" si="0"/>
        <v>34</v>
      </c>
      <c r="V40">
        <f t="shared" si="1"/>
        <v>24</v>
      </c>
      <c r="W40">
        <f t="shared" si="2"/>
        <v>10</v>
      </c>
      <c r="X40" s="5">
        <f t="shared" si="3"/>
        <v>0.29411764705882354</v>
      </c>
      <c r="Y40">
        <f t="shared" si="4"/>
        <v>2025</v>
      </c>
      <c r="Z40">
        <f t="shared" si="5"/>
        <v>1</v>
      </c>
    </row>
    <row r="41" spans="1:26" x14ac:dyDescent="0.3">
      <c r="A41" s="2">
        <v>1221</v>
      </c>
      <c r="B41" s="3">
        <v>45696</v>
      </c>
      <c r="C41" s="4" t="s">
        <v>84</v>
      </c>
      <c r="D41" s="4" t="s">
        <v>85</v>
      </c>
      <c r="E41" s="4" t="s">
        <v>63</v>
      </c>
      <c r="F41" s="4" t="s">
        <v>23</v>
      </c>
      <c r="G41" t="s">
        <v>82</v>
      </c>
      <c r="H41" s="2">
        <v>1</v>
      </c>
      <c r="I41" s="2">
        <v>45</v>
      </c>
      <c r="J41">
        <v>65</v>
      </c>
      <c r="K41">
        <v>5</v>
      </c>
      <c r="L41">
        <v>12</v>
      </c>
      <c r="M41" t="s">
        <v>43</v>
      </c>
      <c r="N41" t="s">
        <v>44</v>
      </c>
      <c r="O41">
        <v>42</v>
      </c>
      <c r="P41" t="s">
        <v>36</v>
      </c>
      <c r="Q41" t="s">
        <v>37</v>
      </c>
      <c r="R41" t="s">
        <v>54</v>
      </c>
      <c r="S41" t="s">
        <v>297</v>
      </c>
      <c r="T41" s="1">
        <v>46566</v>
      </c>
      <c r="U41">
        <f t="shared" si="0"/>
        <v>65</v>
      </c>
      <c r="V41">
        <f t="shared" si="1"/>
        <v>45</v>
      </c>
      <c r="W41">
        <f t="shared" si="2"/>
        <v>20</v>
      </c>
      <c r="X41" s="5">
        <f t="shared" si="3"/>
        <v>0.30769230769230771</v>
      </c>
      <c r="Y41">
        <f t="shared" si="4"/>
        <v>2025</v>
      </c>
      <c r="Z41">
        <f t="shared" si="5"/>
        <v>2</v>
      </c>
    </row>
    <row r="42" spans="1:26" x14ac:dyDescent="0.3">
      <c r="A42" s="2">
        <v>1224</v>
      </c>
      <c r="B42" s="3">
        <v>45733</v>
      </c>
      <c r="C42" s="4" t="s">
        <v>31</v>
      </c>
      <c r="D42" s="4" t="s">
        <v>32</v>
      </c>
      <c r="E42" s="4" t="s">
        <v>33</v>
      </c>
      <c r="F42" s="4" t="s">
        <v>23</v>
      </c>
      <c r="G42" t="s">
        <v>34</v>
      </c>
      <c r="H42" s="2">
        <v>1</v>
      </c>
      <c r="I42" s="2">
        <v>140</v>
      </c>
      <c r="J42">
        <v>180</v>
      </c>
      <c r="K42">
        <v>0</v>
      </c>
      <c r="L42">
        <v>12</v>
      </c>
      <c r="M42" t="s">
        <v>25</v>
      </c>
      <c r="N42" t="s">
        <v>44</v>
      </c>
      <c r="O42">
        <v>63</v>
      </c>
      <c r="P42" t="s">
        <v>27</v>
      </c>
      <c r="Q42" t="s">
        <v>53</v>
      </c>
      <c r="R42" t="s">
        <v>54</v>
      </c>
      <c r="S42" t="s">
        <v>300</v>
      </c>
      <c r="T42" s="1">
        <v>46620</v>
      </c>
      <c r="U42">
        <f t="shared" si="0"/>
        <v>180</v>
      </c>
      <c r="V42">
        <f t="shared" si="1"/>
        <v>140</v>
      </c>
      <c r="W42">
        <f t="shared" si="2"/>
        <v>40</v>
      </c>
      <c r="X42" s="5">
        <f t="shared" si="3"/>
        <v>0.22222222222222221</v>
      </c>
      <c r="Y42">
        <f t="shared" si="4"/>
        <v>2025</v>
      </c>
      <c r="Z42">
        <f t="shared" si="5"/>
        <v>3</v>
      </c>
    </row>
    <row r="43" spans="1:26" x14ac:dyDescent="0.3">
      <c r="A43" s="2">
        <v>1227</v>
      </c>
      <c r="B43" s="3">
        <v>45881</v>
      </c>
      <c r="C43" s="4" t="s">
        <v>79</v>
      </c>
      <c r="D43" s="4" t="s">
        <v>80</v>
      </c>
      <c r="E43" s="4" t="s">
        <v>81</v>
      </c>
      <c r="F43" s="4" t="s">
        <v>23</v>
      </c>
      <c r="G43" t="s">
        <v>82</v>
      </c>
      <c r="H43" s="2">
        <v>1</v>
      </c>
      <c r="I43" s="2">
        <v>80</v>
      </c>
      <c r="J43">
        <v>110</v>
      </c>
      <c r="K43">
        <v>5</v>
      </c>
      <c r="L43">
        <v>12</v>
      </c>
      <c r="M43" t="s">
        <v>43</v>
      </c>
      <c r="N43" t="s">
        <v>44</v>
      </c>
      <c r="O43">
        <v>70</v>
      </c>
      <c r="P43" t="s">
        <v>52</v>
      </c>
      <c r="Q43" t="s">
        <v>59</v>
      </c>
      <c r="R43" t="s">
        <v>54</v>
      </c>
      <c r="S43" t="s">
        <v>303</v>
      </c>
      <c r="T43" s="1">
        <v>46336</v>
      </c>
      <c r="U43">
        <f t="shared" si="0"/>
        <v>110</v>
      </c>
      <c r="V43">
        <f t="shared" si="1"/>
        <v>80</v>
      </c>
      <c r="W43">
        <f t="shared" si="2"/>
        <v>30</v>
      </c>
      <c r="X43" s="5">
        <f t="shared" si="3"/>
        <v>0.27272727272727271</v>
      </c>
      <c r="Y43">
        <f t="shared" si="4"/>
        <v>2025</v>
      </c>
      <c r="Z43">
        <f t="shared" si="5"/>
        <v>8</v>
      </c>
    </row>
    <row r="44" spans="1:26" x14ac:dyDescent="0.3">
      <c r="A44" s="2">
        <v>1228</v>
      </c>
      <c r="B44" s="3">
        <v>45969</v>
      </c>
      <c r="C44" s="4" t="s">
        <v>75</v>
      </c>
      <c r="D44" s="4" t="s">
        <v>41</v>
      </c>
      <c r="E44" s="4" t="s">
        <v>76</v>
      </c>
      <c r="F44" s="4" t="s">
        <v>23</v>
      </c>
      <c r="G44" t="s">
        <v>42</v>
      </c>
      <c r="H44" s="2">
        <v>1</v>
      </c>
      <c r="I44" s="2">
        <v>25</v>
      </c>
      <c r="J44">
        <v>35</v>
      </c>
      <c r="K44">
        <v>10</v>
      </c>
      <c r="L44">
        <v>12</v>
      </c>
      <c r="M44" t="s">
        <v>35</v>
      </c>
      <c r="N44" t="s">
        <v>44</v>
      </c>
      <c r="O44">
        <v>44</v>
      </c>
      <c r="P44" t="s">
        <v>52</v>
      </c>
      <c r="Q44" t="s">
        <v>37</v>
      </c>
      <c r="R44" t="s">
        <v>38</v>
      </c>
      <c r="S44" t="s">
        <v>304</v>
      </c>
      <c r="T44" s="1">
        <v>46448</v>
      </c>
      <c r="U44">
        <f t="shared" si="0"/>
        <v>35</v>
      </c>
      <c r="V44">
        <f t="shared" si="1"/>
        <v>25</v>
      </c>
      <c r="W44">
        <f t="shared" si="2"/>
        <v>10</v>
      </c>
      <c r="X44" s="5">
        <f t="shared" si="3"/>
        <v>0.2857142857142857</v>
      </c>
      <c r="Y44">
        <f t="shared" si="4"/>
        <v>2025</v>
      </c>
      <c r="Z44">
        <f t="shared" si="5"/>
        <v>11</v>
      </c>
    </row>
    <row r="45" spans="1:26" x14ac:dyDescent="0.3">
      <c r="A45" s="2">
        <v>1238</v>
      </c>
      <c r="B45" s="3">
        <v>45982</v>
      </c>
      <c r="C45" s="4" t="s">
        <v>56</v>
      </c>
      <c r="D45" s="4" t="s">
        <v>57</v>
      </c>
      <c r="E45" s="4" t="s">
        <v>58</v>
      </c>
      <c r="F45" s="4" t="s">
        <v>23</v>
      </c>
      <c r="G45" t="s">
        <v>24</v>
      </c>
      <c r="H45" s="2">
        <v>1</v>
      </c>
      <c r="I45" s="2">
        <v>75</v>
      </c>
      <c r="J45">
        <v>100</v>
      </c>
      <c r="K45">
        <v>0</v>
      </c>
      <c r="L45">
        <v>12</v>
      </c>
      <c r="M45" t="s">
        <v>25</v>
      </c>
      <c r="N45" t="s">
        <v>44</v>
      </c>
      <c r="O45">
        <v>31</v>
      </c>
      <c r="P45" t="s">
        <v>52</v>
      </c>
      <c r="Q45" t="s">
        <v>37</v>
      </c>
      <c r="R45" t="s">
        <v>29</v>
      </c>
      <c r="S45" t="s">
        <v>314</v>
      </c>
      <c r="T45" s="1">
        <v>46566</v>
      </c>
      <c r="U45">
        <f t="shared" si="0"/>
        <v>100</v>
      </c>
      <c r="V45">
        <f t="shared" si="1"/>
        <v>75</v>
      </c>
      <c r="W45">
        <f t="shared" si="2"/>
        <v>25</v>
      </c>
      <c r="X45" s="5">
        <f t="shared" si="3"/>
        <v>0.25</v>
      </c>
      <c r="Y45">
        <f t="shared" si="4"/>
        <v>2025</v>
      </c>
      <c r="Z45">
        <f t="shared" si="5"/>
        <v>11</v>
      </c>
    </row>
    <row r="46" spans="1:26" x14ac:dyDescent="0.3">
      <c r="A46" s="2">
        <v>1239</v>
      </c>
      <c r="B46" s="3">
        <v>45913</v>
      </c>
      <c r="C46" s="4" t="s">
        <v>40</v>
      </c>
      <c r="D46" s="4" t="s">
        <v>41</v>
      </c>
      <c r="E46" s="4" t="s">
        <v>33</v>
      </c>
      <c r="F46" s="4" t="s">
        <v>23</v>
      </c>
      <c r="G46" t="s">
        <v>42</v>
      </c>
      <c r="H46" s="2">
        <v>1</v>
      </c>
      <c r="I46" s="2">
        <v>24</v>
      </c>
      <c r="J46">
        <v>34</v>
      </c>
      <c r="K46">
        <v>0</v>
      </c>
      <c r="L46">
        <v>12</v>
      </c>
      <c r="M46" t="s">
        <v>25</v>
      </c>
      <c r="N46" t="s">
        <v>44</v>
      </c>
      <c r="O46">
        <v>28</v>
      </c>
      <c r="P46" t="s">
        <v>27</v>
      </c>
      <c r="Q46" t="s">
        <v>59</v>
      </c>
      <c r="R46" t="s">
        <v>54</v>
      </c>
      <c r="S46" t="s">
        <v>315</v>
      </c>
      <c r="T46" s="1">
        <v>46753</v>
      </c>
      <c r="U46">
        <f t="shared" si="0"/>
        <v>34</v>
      </c>
      <c r="V46">
        <f t="shared" si="1"/>
        <v>24</v>
      </c>
      <c r="W46">
        <f t="shared" si="2"/>
        <v>10</v>
      </c>
      <c r="X46" s="5">
        <f t="shared" si="3"/>
        <v>0.29411764705882354</v>
      </c>
      <c r="Y46">
        <f t="shared" si="4"/>
        <v>2025</v>
      </c>
      <c r="Z46">
        <f t="shared" si="5"/>
        <v>9</v>
      </c>
    </row>
    <row r="47" spans="1:26" x14ac:dyDescent="0.3">
      <c r="A47" s="2">
        <v>1250</v>
      </c>
      <c r="B47" s="3">
        <v>45700</v>
      </c>
      <c r="C47" s="4" t="s">
        <v>105</v>
      </c>
      <c r="D47" s="4" t="s">
        <v>106</v>
      </c>
      <c r="E47" s="4" t="s">
        <v>22</v>
      </c>
      <c r="F47" s="4" t="s">
        <v>23</v>
      </c>
      <c r="G47" t="s">
        <v>51</v>
      </c>
      <c r="H47" s="2">
        <v>1</v>
      </c>
      <c r="I47" s="2">
        <v>95</v>
      </c>
      <c r="J47">
        <v>125</v>
      </c>
      <c r="K47">
        <v>0</v>
      </c>
      <c r="L47">
        <v>12</v>
      </c>
      <c r="M47" t="s">
        <v>25</v>
      </c>
      <c r="N47" t="s">
        <v>44</v>
      </c>
      <c r="O47">
        <v>60</v>
      </c>
      <c r="P47" t="s">
        <v>27</v>
      </c>
      <c r="Q47" t="s">
        <v>28</v>
      </c>
      <c r="R47" t="s">
        <v>29</v>
      </c>
      <c r="S47" t="s">
        <v>326</v>
      </c>
      <c r="T47" s="1">
        <v>46600</v>
      </c>
      <c r="U47">
        <f t="shared" si="0"/>
        <v>125</v>
      </c>
      <c r="V47">
        <f t="shared" si="1"/>
        <v>95</v>
      </c>
      <c r="W47">
        <f t="shared" si="2"/>
        <v>30</v>
      </c>
      <c r="X47" s="5">
        <f t="shared" si="3"/>
        <v>0.24</v>
      </c>
      <c r="Y47">
        <f t="shared" si="4"/>
        <v>2025</v>
      </c>
      <c r="Z47">
        <f t="shared" si="5"/>
        <v>2</v>
      </c>
    </row>
    <row r="48" spans="1:26" x14ac:dyDescent="0.3">
      <c r="A48" s="2">
        <v>1267</v>
      </c>
      <c r="B48" s="3">
        <v>45840</v>
      </c>
      <c r="C48" s="4" t="s">
        <v>56</v>
      </c>
      <c r="D48" s="4" t="s">
        <v>57</v>
      </c>
      <c r="E48" s="4" t="s">
        <v>58</v>
      </c>
      <c r="F48" s="4" t="s">
        <v>23</v>
      </c>
      <c r="G48" t="s">
        <v>24</v>
      </c>
      <c r="H48" s="2">
        <v>1</v>
      </c>
      <c r="I48" s="2">
        <v>75</v>
      </c>
      <c r="J48">
        <v>100</v>
      </c>
      <c r="K48">
        <v>10</v>
      </c>
      <c r="L48">
        <v>12</v>
      </c>
      <c r="M48" t="s">
        <v>35</v>
      </c>
      <c r="N48" t="s">
        <v>26</v>
      </c>
      <c r="O48">
        <v>71</v>
      </c>
      <c r="P48" t="s">
        <v>52</v>
      </c>
      <c r="Q48" t="s">
        <v>66</v>
      </c>
      <c r="R48" t="s">
        <v>54</v>
      </c>
      <c r="S48" t="s">
        <v>342</v>
      </c>
      <c r="T48" s="1">
        <v>46085</v>
      </c>
      <c r="U48">
        <f t="shared" si="0"/>
        <v>100</v>
      </c>
      <c r="V48">
        <f t="shared" si="1"/>
        <v>75</v>
      </c>
      <c r="W48">
        <f t="shared" si="2"/>
        <v>25</v>
      </c>
      <c r="X48" s="5">
        <f t="shared" si="3"/>
        <v>0.25</v>
      </c>
      <c r="Y48">
        <f t="shared" si="4"/>
        <v>2025</v>
      </c>
      <c r="Z48">
        <f t="shared" si="5"/>
        <v>7</v>
      </c>
    </row>
    <row r="49" spans="1:26" x14ac:dyDescent="0.3">
      <c r="A49" s="2">
        <v>1273</v>
      </c>
      <c r="B49" s="3">
        <v>45777</v>
      </c>
      <c r="C49" s="4" t="s">
        <v>47</v>
      </c>
      <c r="D49" s="4" t="s">
        <v>48</v>
      </c>
      <c r="E49" s="4" t="s">
        <v>49</v>
      </c>
      <c r="F49" s="4" t="s">
        <v>50</v>
      </c>
      <c r="G49" t="s">
        <v>51</v>
      </c>
      <c r="H49" s="2">
        <v>1</v>
      </c>
      <c r="I49" s="2">
        <v>35</v>
      </c>
      <c r="J49">
        <v>50</v>
      </c>
      <c r="K49">
        <v>0</v>
      </c>
      <c r="L49">
        <v>12</v>
      </c>
      <c r="M49" t="s">
        <v>25</v>
      </c>
      <c r="N49" t="s">
        <v>26</v>
      </c>
      <c r="O49">
        <v>20</v>
      </c>
      <c r="P49" t="s">
        <v>36</v>
      </c>
      <c r="Q49" t="s">
        <v>66</v>
      </c>
      <c r="R49" t="s">
        <v>29</v>
      </c>
      <c r="S49" t="s">
        <v>348</v>
      </c>
      <c r="T49" s="1">
        <v>46640</v>
      </c>
      <c r="U49">
        <f t="shared" si="0"/>
        <v>50</v>
      </c>
      <c r="V49">
        <f t="shared" si="1"/>
        <v>35</v>
      </c>
      <c r="W49">
        <f t="shared" si="2"/>
        <v>15</v>
      </c>
      <c r="X49" s="5">
        <f t="shared" si="3"/>
        <v>0.3</v>
      </c>
      <c r="Y49">
        <f t="shared" si="4"/>
        <v>2025</v>
      </c>
      <c r="Z49">
        <f t="shared" si="5"/>
        <v>4</v>
      </c>
    </row>
    <row r="50" spans="1:26" x14ac:dyDescent="0.3">
      <c r="A50" s="2">
        <v>1275</v>
      </c>
      <c r="B50" s="3">
        <v>45995</v>
      </c>
      <c r="C50" s="4" t="s">
        <v>98</v>
      </c>
      <c r="D50" s="4" t="s">
        <v>41</v>
      </c>
      <c r="E50" s="4" t="s">
        <v>33</v>
      </c>
      <c r="F50" s="4" t="s">
        <v>23</v>
      </c>
      <c r="G50" t="s">
        <v>82</v>
      </c>
      <c r="H50" s="2">
        <v>1</v>
      </c>
      <c r="I50" s="2">
        <v>22</v>
      </c>
      <c r="J50">
        <v>32</v>
      </c>
      <c r="K50">
        <v>5</v>
      </c>
      <c r="L50">
        <v>12</v>
      </c>
      <c r="M50" t="s">
        <v>43</v>
      </c>
      <c r="N50" t="s">
        <v>26</v>
      </c>
      <c r="O50">
        <v>48</v>
      </c>
      <c r="P50" t="s">
        <v>52</v>
      </c>
      <c r="Q50" t="s">
        <v>53</v>
      </c>
      <c r="R50" t="s">
        <v>29</v>
      </c>
      <c r="S50" t="s">
        <v>350</v>
      </c>
      <c r="T50" s="1">
        <v>46449</v>
      </c>
      <c r="U50">
        <f t="shared" si="0"/>
        <v>32</v>
      </c>
      <c r="V50">
        <f t="shared" si="1"/>
        <v>22</v>
      </c>
      <c r="W50">
        <f t="shared" si="2"/>
        <v>10</v>
      </c>
      <c r="X50" s="5">
        <f t="shared" si="3"/>
        <v>0.3125</v>
      </c>
      <c r="Y50">
        <f t="shared" si="4"/>
        <v>2025</v>
      </c>
      <c r="Z50">
        <f t="shared" si="5"/>
        <v>12</v>
      </c>
    </row>
    <row r="51" spans="1:26" x14ac:dyDescent="0.3">
      <c r="A51" s="2">
        <v>1277</v>
      </c>
      <c r="B51" s="3">
        <v>45661</v>
      </c>
      <c r="C51" s="4" t="s">
        <v>56</v>
      </c>
      <c r="D51" s="4" t="s">
        <v>57</v>
      </c>
      <c r="E51" s="4" t="s">
        <v>58</v>
      </c>
      <c r="F51" s="4" t="s">
        <v>23</v>
      </c>
      <c r="G51" t="s">
        <v>24</v>
      </c>
      <c r="H51" s="2">
        <v>1</v>
      </c>
      <c r="I51" s="2">
        <v>75</v>
      </c>
      <c r="J51">
        <v>100</v>
      </c>
      <c r="K51">
        <v>5</v>
      </c>
      <c r="L51">
        <v>12</v>
      </c>
      <c r="M51" t="s">
        <v>35</v>
      </c>
      <c r="N51" t="s">
        <v>26</v>
      </c>
      <c r="O51">
        <v>27</v>
      </c>
      <c r="P51" t="s">
        <v>36</v>
      </c>
      <c r="Q51" t="s">
        <v>53</v>
      </c>
      <c r="R51" t="s">
        <v>38</v>
      </c>
      <c r="S51" t="s">
        <v>352</v>
      </c>
      <c r="T51" s="1">
        <v>46431</v>
      </c>
      <c r="U51">
        <f t="shared" si="0"/>
        <v>100</v>
      </c>
      <c r="V51">
        <f t="shared" si="1"/>
        <v>75</v>
      </c>
      <c r="W51">
        <f t="shared" si="2"/>
        <v>25</v>
      </c>
      <c r="X51" s="5">
        <f t="shared" si="3"/>
        <v>0.25</v>
      </c>
      <c r="Y51">
        <f t="shared" si="4"/>
        <v>2025</v>
      </c>
      <c r="Z51">
        <f t="shared" si="5"/>
        <v>1</v>
      </c>
    </row>
    <row r="52" spans="1:26" x14ac:dyDescent="0.3">
      <c r="A52" s="2">
        <v>1282</v>
      </c>
      <c r="B52" s="3">
        <v>45877</v>
      </c>
      <c r="C52" s="4" t="s">
        <v>98</v>
      </c>
      <c r="D52" s="4" t="s">
        <v>41</v>
      </c>
      <c r="E52" s="4" t="s">
        <v>33</v>
      </c>
      <c r="F52" s="4" t="s">
        <v>23</v>
      </c>
      <c r="G52" t="s">
        <v>82</v>
      </c>
      <c r="H52" s="2">
        <v>1</v>
      </c>
      <c r="I52" s="2">
        <v>22</v>
      </c>
      <c r="J52">
        <v>32</v>
      </c>
      <c r="K52">
        <v>10</v>
      </c>
      <c r="L52">
        <v>12</v>
      </c>
      <c r="M52" t="s">
        <v>25</v>
      </c>
      <c r="N52" t="s">
        <v>44</v>
      </c>
      <c r="O52">
        <v>73</v>
      </c>
      <c r="P52" t="s">
        <v>27</v>
      </c>
      <c r="Q52" t="s">
        <v>59</v>
      </c>
      <c r="R52" t="s">
        <v>54</v>
      </c>
      <c r="S52" t="s">
        <v>357</v>
      </c>
      <c r="T52" s="1">
        <v>46629</v>
      </c>
      <c r="U52">
        <f t="shared" si="0"/>
        <v>32</v>
      </c>
      <c r="V52">
        <f t="shared" si="1"/>
        <v>22</v>
      </c>
      <c r="W52">
        <f t="shared" si="2"/>
        <v>10</v>
      </c>
      <c r="X52" s="5">
        <f t="shared" si="3"/>
        <v>0.3125</v>
      </c>
      <c r="Y52">
        <f t="shared" si="4"/>
        <v>2025</v>
      </c>
      <c r="Z52">
        <f t="shared" si="5"/>
        <v>8</v>
      </c>
    </row>
    <row r="53" spans="1:26" x14ac:dyDescent="0.3">
      <c r="A53" s="2">
        <v>1284</v>
      </c>
      <c r="B53" s="3">
        <v>45735</v>
      </c>
      <c r="C53" s="4" t="s">
        <v>79</v>
      </c>
      <c r="D53" s="4" t="s">
        <v>80</v>
      </c>
      <c r="E53" s="4" t="s">
        <v>81</v>
      </c>
      <c r="F53" s="4" t="s">
        <v>23</v>
      </c>
      <c r="G53" t="s">
        <v>82</v>
      </c>
      <c r="H53" s="2">
        <v>1</v>
      </c>
      <c r="I53" s="2">
        <v>80</v>
      </c>
      <c r="J53">
        <v>110</v>
      </c>
      <c r="K53">
        <v>0</v>
      </c>
      <c r="L53">
        <v>12</v>
      </c>
      <c r="M53" t="s">
        <v>35</v>
      </c>
      <c r="N53" t="s">
        <v>26</v>
      </c>
      <c r="O53">
        <v>57</v>
      </c>
      <c r="P53" t="s">
        <v>52</v>
      </c>
      <c r="Q53" t="s">
        <v>37</v>
      </c>
      <c r="R53" t="s">
        <v>22</v>
      </c>
      <c r="S53" t="s">
        <v>359</v>
      </c>
      <c r="T53" s="1">
        <v>46572</v>
      </c>
      <c r="U53">
        <f t="shared" si="0"/>
        <v>110</v>
      </c>
      <c r="V53">
        <f t="shared" si="1"/>
        <v>80</v>
      </c>
      <c r="W53">
        <f t="shared" si="2"/>
        <v>30</v>
      </c>
      <c r="X53" s="5">
        <f t="shared" si="3"/>
        <v>0.27272727272727271</v>
      </c>
      <c r="Y53">
        <f t="shared" si="4"/>
        <v>2025</v>
      </c>
      <c r="Z53">
        <f t="shared" si="5"/>
        <v>3</v>
      </c>
    </row>
    <row r="54" spans="1:26" x14ac:dyDescent="0.3">
      <c r="A54" s="2">
        <v>1289</v>
      </c>
      <c r="B54" s="3">
        <v>45737</v>
      </c>
      <c r="C54" s="4" t="s">
        <v>40</v>
      </c>
      <c r="D54" s="4" t="s">
        <v>41</v>
      </c>
      <c r="E54" s="4" t="s">
        <v>33</v>
      </c>
      <c r="F54" s="4" t="s">
        <v>23</v>
      </c>
      <c r="G54" t="s">
        <v>42</v>
      </c>
      <c r="H54" s="2">
        <v>1</v>
      </c>
      <c r="I54" s="2">
        <v>24</v>
      </c>
      <c r="J54">
        <v>34</v>
      </c>
      <c r="K54">
        <v>10</v>
      </c>
      <c r="L54">
        <v>12</v>
      </c>
      <c r="M54" t="s">
        <v>43</v>
      </c>
      <c r="N54" t="s">
        <v>26</v>
      </c>
      <c r="O54">
        <v>68</v>
      </c>
      <c r="P54" t="s">
        <v>27</v>
      </c>
      <c r="Q54" t="s">
        <v>37</v>
      </c>
      <c r="R54" t="s">
        <v>29</v>
      </c>
      <c r="S54" t="s">
        <v>364</v>
      </c>
      <c r="T54" s="1">
        <v>46092</v>
      </c>
      <c r="U54">
        <f t="shared" si="0"/>
        <v>34</v>
      </c>
      <c r="V54">
        <f t="shared" si="1"/>
        <v>24</v>
      </c>
      <c r="W54">
        <f t="shared" si="2"/>
        <v>10</v>
      </c>
      <c r="X54" s="5">
        <f t="shared" si="3"/>
        <v>0.29411764705882354</v>
      </c>
      <c r="Y54">
        <f t="shared" si="4"/>
        <v>2025</v>
      </c>
      <c r="Z54">
        <f t="shared" si="5"/>
        <v>3</v>
      </c>
    </row>
    <row r="55" spans="1:26" x14ac:dyDescent="0.3">
      <c r="A55" s="2">
        <v>1295</v>
      </c>
      <c r="B55" s="3">
        <v>45992</v>
      </c>
      <c r="C55" s="4" t="s">
        <v>98</v>
      </c>
      <c r="D55" s="4" t="s">
        <v>41</v>
      </c>
      <c r="E55" s="4" t="s">
        <v>33</v>
      </c>
      <c r="F55" s="4" t="s">
        <v>23</v>
      </c>
      <c r="G55" t="s">
        <v>82</v>
      </c>
      <c r="H55" s="2">
        <v>1</v>
      </c>
      <c r="I55" s="2">
        <v>22</v>
      </c>
      <c r="J55">
        <v>32</v>
      </c>
      <c r="K55">
        <v>10</v>
      </c>
      <c r="L55">
        <v>12</v>
      </c>
      <c r="M55" t="s">
        <v>25</v>
      </c>
      <c r="N55" t="s">
        <v>26</v>
      </c>
      <c r="O55">
        <v>47</v>
      </c>
      <c r="P55" t="s">
        <v>52</v>
      </c>
      <c r="Q55" t="s">
        <v>53</v>
      </c>
      <c r="R55" t="s">
        <v>86</v>
      </c>
      <c r="S55" t="s">
        <v>370</v>
      </c>
      <c r="T55" s="1">
        <v>46393</v>
      </c>
      <c r="U55">
        <f t="shared" si="0"/>
        <v>32</v>
      </c>
      <c r="V55">
        <f t="shared" si="1"/>
        <v>22</v>
      </c>
      <c r="W55">
        <f t="shared" si="2"/>
        <v>10</v>
      </c>
      <c r="X55" s="5">
        <f t="shared" si="3"/>
        <v>0.3125</v>
      </c>
      <c r="Y55">
        <f t="shared" si="4"/>
        <v>2025</v>
      </c>
      <c r="Z55">
        <f t="shared" si="5"/>
        <v>12</v>
      </c>
    </row>
    <row r="56" spans="1:26" x14ac:dyDescent="0.3">
      <c r="A56" s="2">
        <v>1304</v>
      </c>
      <c r="B56" s="3">
        <v>45765</v>
      </c>
      <c r="C56" s="4" t="s">
        <v>105</v>
      </c>
      <c r="D56" s="4" t="s">
        <v>106</v>
      </c>
      <c r="E56" s="4" t="s">
        <v>22</v>
      </c>
      <c r="F56" s="4" t="s">
        <v>23</v>
      </c>
      <c r="G56" t="s">
        <v>51</v>
      </c>
      <c r="H56" s="2">
        <v>1</v>
      </c>
      <c r="I56" s="2">
        <v>95</v>
      </c>
      <c r="J56">
        <v>125</v>
      </c>
      <c r="K56">
        <v>0</v>
      </c>
      <c r="L56">
        <v>12</v>
      </c>
      <c r="M56" t="s">
        <v>25</v>
      </c>
      <c r="N56" t="s">
        <v>44</v>
      </c>
      <c r="O56">
        <v>68</v>
      </c>
      <c r="P56" t="s">
        <v>36</v>
      </c>
      <c r="Q56" t="s">
        <v>59</v>
      </c>
      <c r="R56" t="s">
        <v>29</v>
      </c>
      <c r="S56" t="s">
        <v>379</v>
      </c>
      <c r="T56" s="1">
        <v>46291</v>
      </c>
      <c r="U56">
        <f t="shared" si="0"/>
        <v>125</v>
      </c>
      <c r="V56">
        <f t="shared" si="1"/>
        <v>95</v>
      </c>
      <c r="W56">
        <f t="shared" si="2"/>
        <v>30</v>
      </c>
      <c r="X56" s="5">
        <f t="shared" si="3"/>
        <v>0.24</v>
      </c>
      <c r="Y56">
        <f t="shared" si="4"/>
        <v>2025</v>
      </c>
      <c r="Z56">
        <f t="shared" si="5"/>
        <v>4</v>
      </c>
    </row>
    <row r="57" spans="1:26" x14ac:dyDescent="0.3">
      <c r="A57" s="2">
        <v>1310</v>
      </c>
      <c r="B57" s="3">
        <v>45717</v>
      </c>
      <c r="C57" s="4" t="s">
        <v>84</v>
      </c>
      <c r="D57" s="4" t="s">
        <v>85</v>
      </c>
      <c r="E57" s="4" t="s">
        <v>63</v>
      </c>
      <c r="F57" s="4" t="s">
        <v>23</v>
      </c>
      <c r="G57" t="s">
        <v>82</v>
      </c>
      <c r="H57" s="2">
        <v>1</v>
      </c>
      <c r="I57" s="2">
        <v>45</v>
      </c>
      <c r="J57">
        <v>65</v>
      </c>
      <c r="K57">
        <v>5</v>
      </c>
      <c r="L57">
        <v>12</v>
      </c>
      <c r="M57" t="s">
        <v>43</v>
      </c>
      <c r="N57" t="s">
        <v>26</v>
      </c>
      <c r="O57">
        <v>48</v>
      </c>
      <c r="P57" t="s">
        <v>36</v>
      </c>
      <c r="Q57" t="s">
        <v>37</v>
      </c>
      <c r="R57" t="s">
        <v>29</v>
      </c>
      <c r="S57" t="s">
        <v>385</v>
      </c>
      <c r="T57" s="1">
        <v>46371</v>
      </c>
      <c r="U57">
        <f t="shared" si="0"/>
        <v>65</v>
      </c>
      <c r="V57">
        <f t="shared" si="1"/>
        <v>45</v>
      </c>
      <c r="W57">
        <f t="shared" si="2"/>
        <v>20</v>
      </c>
      <c r="X57" s="5">
        <f t="shared" si="3"/>
        <v>0.30769230769230771</v>
      </c>
      <c r="Y57">
        <f t="shared" si="4"/>
        <v>2025</v>
      </c>
      <c r="Z57">
        <f t="shared" si="5"/>
        <v>3</v>
      </c>
    </row>
    <row r="58" spans="1:26" x14ac:dyDescent="0.3">
      <c r="A58" s="2">
        <v>1313</v>
      </c>
      <c r="B58" s="3">
        <v>45766</v>
      </c>
      <c r="C58" s="4" t="s">
        <v>92</v>
      </c>
      <c r="D58" s="4" t="s">
        <v>48</v>
      </c>
      <c r="E58" s="4" t="s">
        <v>54</v>
      </c>
      <c r="F58" s="4" t="s">
        <v>23</v>
      </c>
      <c r="G58" t="s">
        <v>82</v>
      </c>
      <c r="H58" s="2">
        <v>1</v>
      </c>
      <c r="I58" s="2">
        <v>18</v>
      </c>
      <c r="J58">
        <v>28</v>
      </c>
      <c r="K58">
        <v>10</v>
      </c>
      <c r="L58">
        <v>12</v>
      </c>
      <c r="M58" t="s">
        <v>25</v>
      </c>
      <c r="N58" t="s">
        <v>26</v>
      </c>
      <c r="O58">
        <v>50</v>
      </c>
      <c r="P58" t="s">
        <v>27</v>
      </c>
      <c r="Q58" t="s">
        <v>53</v>
      </c>
      <c r="R58" t="s">
        <v>29</v>
      </c>
      <c r="S58" t="s">
        <v>126</v>
      </c>
      <c r="T58" s="1">
        <v>46261</v>
      </c>
      <c r="U58">
        <f t="shared" si="0"/>
        <v>28</v>
      </c>
      <c r="V58">
        <f t="shared" si="1"/>
        <v>18</v>
      </c>
      <c r="W58">
        <f t="shared" si="2"/>
        <v>10</v>
      </c>
      <c r="X58" s="5">
        <f t="shared" si="3"/>
        <v>0.35714285714285715</v>
      </c>
      <c r="Y58">
        <f t="shared" si="4"/>
        <v>2025</v>
      </c>
      <c r="Z58">
        <f t="shared" si="5"/>
        <v>4</v>
      </c>
    </row>
    <row r="59" spans="1:26" x14ac:dyDescent="0.3">
      <c r="A59" s="2">
        <v>1314</v>
      </c>
      <c r="B59" s="3">
        <v>45729</v>
      </c>
      <c r="C59" s="4" t="s">
        <v>98</v>
      </c>
      <c r="D59" s="4" t="s">
        <v>41</v>
      </c>
      <c r="E59" s="4" t="s">
        <v>33</v>
      </c>
      <c r="F59" s="4" t="s">
        <v>23</v>
      </c>
      <c r="G59" t="s">
        <v>82</v>
      </c>
      <c r="H59" s="2">
        <v>1</v>
      </c>
      <c r="I59" s="2">
        <v>22</v>
      </c>
      <c r="J59">
        <v>32</v>
      </c>
      <c r="K59">
        <v>5</v>
      </c>
      <c r="L59">
        <v>12</v>
      </c>
      <c r="M59" t="s">
        <v>35</v>
      </c>
      <c r="N59" t="s">
        <v>44</v>
      </c>
      <c r="O59">
        <v>72</v>
      </c>
      <c r="P59" t="s">
        <v>27</v>
      </c>
      <c r="Q59" t="s">
        <v>28</v>
      </c>
      <c r="R59" t="s">
        <v>29</v>
      </c>
      <c r="S59" t="s">
        <v>388</v>
      </c>
      <c r="T59" s="1">
        <v>46176</v>
      </c>
      <c r="U59">
        <f t="shared" si="0"/>
        <v>32</v>
      </c>
      <c r="V59">
        <f t="shared" si="1"/>
        <v>22</v>
      </c>
      <c r="W59">
        <f t="shared" si="2"/>
        <v>10</v>
      </c>
      <c r="X59" s="5">
        <f t="shared" si="3"/>
        <v>0.3125</v>
      </c>
      <c r="Y59">
        <f t="shared" si="4"/>
        <v>2025</v>
      </c>
      <c r="Z59">
        <f t="shared" si="5"/>
        <v>3</v>
      </c>
    </row>
    <row r="60" spans="1:26" x14ac:dyDescent="0.3">
      <c r="A60" s="2">
        <v>1316</v>
      </c>
      <c r="B60" s="3">
        <v>45812</v>
      </c>
      <c r="C60" s="4" t="s">
        <v>79</v>
      </c>
      <c r="D60" s="4" t="s">
        <v>80</v>
      </c>
      <c r="E60" s="4" t="s">
        <v>81</v>
      </c>
      <c r="F60" s="4" t="s">
        <v>23</v>
      </c>
      <c r="G60" t="s">
        <v>82</v>
      </c>
      <c r="H60" s="2">
        <v>1</v>
      </c>
      <c r="I60" s="2">
        <v>80</v>
      </c>
      <c r="J60">
        <v>110</v>
      </c>
      <c r="K60">
        <v>5</v>
      </c>
      <c r="L60">
        <v>12</v>
      </c>
      <c r="M60" t="s">
        <v>25</v>
      </c>
      <c r="N60" t="s">
        <v>44</v>
      </c>
      <c r="O60">
        <v>64</v>
      </c>
      <c r="P60" t="s">
        <v>45</v>
      </c>
      <c r="Q60" t="s">
        <v>66</v>
      </c>
      <c r="R60" t="s">
        <v>22</v>
      </c>
      <c r="S60" t="s">
        <v>390</v>
      </c>
      <c r="T60" s="1">
        <v>46089</v>
      </c>
      <c r="U60">
        <f t="shared" si="0"/>
        <v>110</v>
      </c>
      <c r="V60">
        <f t="shared" si="1"/>
        <v>80</v>
      </c>
      <c r="W60">
        <f t="shared" si="2"/>
        <v>30</v>
      </c>
      <c r="X60" s="5">
        <f t="shared" si="3"/>
        <v>0.27272727272727271</v>
      </c>
      <c r="Y60">
        <f t="shared" si="4"/>
        <v>2025</v>
      </c>
      <c r="Z60">
        <f t="shared" si="5"/>
        <v>6</v>
      </c>
    </row>
    <row r="61" spans="1:26" x14ac:dyDescent="0.3">
      <c r="A61" s="2">
        <v>1321</v>
      </c>
      <c r="B61" s="3">
        <v>45701</v>
      </c>
      <c r="C61" s="4" t="s">
        <v>56</v>
      </c>
      <c r="D61" s="4" t="s">
        <v>57</v>
      </c>
      <c r="E61" s="4" t="s">
        <v>58</v>
      </c>
      <c r="F61" s="4" t="s">
        <v>23</v>
      </c>
      <c r="G61" t="s">
        <v>24</v>
      </c>
      <c r="H61" s="2">
        <v>1</v>
      </c>
      <c r="I61" s="2">
        <v>75</v>
      </c>
      <c r="J61">
        <v>100</v>
      </c>
      <c r="K61">
        <v>10</v>
      </c>
      <c r="L61">
        <v>12</v>
      </c>
      <c r="M61" t="s">
        <v>35</v>
      </c>
      <c r="N61" t="s">
        <v>44</v>
      </c>
      <c r="O61">
        <v>36</v>
      </c>
      <c r="P61" t="s">
        <v>27</v>
      </c>
      <c r="Q61" t="s">
        <v>28</v>
      </c>
      <c r="R61" t="s">
        <v>86</v>
      </c>
      <c r="S61" t="s">
        <v>395</v>
      </c>
      <c r="T61" s="1">
        <v>46023</v>
      </c>
      <c r="U61">
        <f t="shared" si="0"/>
        <v>100</v>
      </c>
      <c r="V61">
        <f t="shared" si="1"/>
        <v>75</v>
      </c>
      <c r="W61">
        <f t="shared" si="2"/>
        <v>25</v>
      </c>
      <c r="X61" s="5">
        <f t="shared" si="3"/>
        <v>0.25</v>
      </c>
      <c r="Y61">
        <f t="shared" si="4"/>
        <v>2025</v>
      </c>
      <c r="Z61">
        <f t="shared" si="5"/>
        <v>2</v>
      </c>
    </row>
    <row r="62" spans="1:26" x14ac:dyDescent="0.3">
      <c r="A62" s="2">
        <v>1322</v>
      </c>
      <c r="B62" s="3">
        <v>45867</v>
      </c>
      <c r="C62" s="4" t="s">
        <v>108</v>
      </c>
      <c r="D62" s="4" t="s">
        <v>32</v>
      </c>
      <c r="E62" s="4" t="s">
        <v>109</v>
      </c>
      <c r="F62" s="4" t="s">
        <v>23</v>
      </c>
      <c r="G62" t="s">
        <v>82</v>
      </c>
      <c r="H62" s="2">
        <v>1</v>
      </c>
      <c r="I62" s="2">
        <v>90</v>
      </c>
      <c r="J62">
        <v>120</v>
      </c>
      <c r="K62">
        <v>0</v>
      </c>
      <c r="L62">
        <v>12</v>
      </c>
      <c r="M62" t="s">
        <v>43</v>
      </c>
      <c r="N62" t="s">
        <v>44</v>
      </c>
      <c r="O62">
        <v>27</v>
      </c>
      <c r="P62" t="s">
        <v>45</v>
      </c>
      <c r="Q62" t="s">
        <v>66</v>
      </c>
      <c r="R62" t="s">
        <v>38</v>
      </c>
      <c r="S62" t="s">
        <v>396</v>
      </c>
      <c r="T62" s="1">
        <v>46053</v>
      </c>
      <c r="U62">
        <f t="shared" si="0"/>
        <v>120</v>
      </c>
      <c r="V62">
        <f t="shared" si="1"/>
        <v>90</v>
      </c>
      <c r="W62">
        <f t="shared" si="2"/>
        <v>30</v>
      </c>
      <c r="X62" s="5">
        <f t="shared" si="3"/>
        <v>0.25</v>
      </c>
      <c r="Y62">
        <f t="shared" si="4"/>
        <v>2025</v>
      </c>
      <c r="Z62">
        <f t="shared" si="5"/>
        <v>7</v>
      </c>
    </row>
    <row r="63" spans="1:26" x14ac:dyDescent="0.3">
      <c r="A63" s="2">
        <v>1324</v>
      </c>
      <c r="B63" s="3">
        <v>45963</v>
      </c>
      <c r="C63" s="4" t="s">
        <v>84</v>
      </c>
      <c r="D63" s="4" t="s">
        <v>85</v>
      </c>
      <c r="E63" s="4" t="s">
        <v>63</v>
      </c>
      <c r="F63" s="4" t="s">
        <v>23</v>
      </c>
      <c r="G63" t="s">
        <v>82</v>
      </c>
      <c r="H63" s="2">
        <v>1</v>
      </c>
      <c r="I63" s="2">
        <v>45</v>
      </c>
      <c r="J63">
        <v>65</v>
      </c>
      <c r="K63">
        <v>5</v>
      </c>
      <c r="L63">
        <v>12</v>
      </c>
      <c r="M63" t="s">
        <v>35</v>
      </c>
      <c r="N63" t="s">
        <v>44</v>
      </c>
      <c r="O63">
        <v>61</v>
      </c>
      <c r="P63" t="s">
        <v>52</v>
      </c>
      <c r="Q63" t="s">
        <v>59</v>
      </c>
      <c r="R63" t="s">
        <v>38</v>
      </c>
      <c r="S63" t="s">
        <v>132</v>
      </c>
      <c r="T63" s="1">
        <v>46835</v>
      </c>
      <c r="U63">
        <f t="shared" si="0"/>
        <v>65</v>
      </c>
      <c r="V63">
        <f t="shared" si="1"/>
        <v>45</v>
      </c>
      <c r="W63">
        <f t="shared" si="2"/>
        <v>20</v>
      </c>
      <c r="X63" s="5">
        <f t="shared" si="3"/>
        <v>0.30769230769230771</v>
      </c>
      <c r="Y63">
        <f t="shared" si="4"/>
        <v>2025</v>
      </c>
      <c r="Z63">
        <f t="shared" si="5"/>
        <v>11</v>
      </c>
    </row>
    <row r="64" spans="1:26" x14ac:dyDescent="0.3">
      <c r="A64" s="2">
        <v>1325</v>
      </c>
      <c r="B64" s="3">
        <v>45771</v>
      </c>
      <c r="C64" s="4" t="s">
        <v>98</v>
      </c>
      <c r="D64" s="4" t="s">
        <v>41</v>
      </c>
      <c r="E64" s="4" t="s">
        <v>33</v>
      </c>
      <c r="F64" s="4" t="s">
        <v>23</v>
      </c>
      <c r="G64" t="s">
        <v>82</v>
      </c>
      <c r="H64" s="2">
        <v>1</v>
      </c>
      <c r="I64" s="2">
        <v>22</v>
      </c>
      <c r="J64">
        <v>32</v>
      </c>
      <c r="K64">
        <v>5</v>
      </c>
      <c r="L64">
        <v>12</v>
      </c>
      <c r="M64" t="s">
        <v>25</v>
      </c>
      <c r="N64" t="s">
        <v>44</v>
      </c>
      <c r="O64">
        <v>45</v>
      </c>
      <c r="P64" t="s">
        <v>27</v>
      </c>
      <c r="Q64" t="s">
        <v>66</v>
      </c>
      <c r="R64" t="s">
        <v>22</v>
      </c>
      <c r="S64" t="s">
        <v>398</v>
      </c>
      <c r="T64" s="1">
        <v>46093</v>
      </c>
      <c r="U64">
        <f t="shared" si="0"/>
        <v>32</v>
      </c>
      <c r="V64">
        <f t="shared" si="1"/>
        <v>22</v>
      </c>
      <c r="W64">
        <f t="shared" si="2"/>
        <v>10</v>
      </c>
      <c r="X64" s="5">
        <f t="shared" si="3"/>
        <v>0.3125</v>
      </c>
      <c r="Y64">
        <f t="shared" si="4"/>
        <v>2025</v>
      </c>
      <c r="Z64">
        <f t="shared" si="5"/>
        <v>4</v>
      </c>
    </row>
    <row r="65" spans="1:26" x14ac:dyDescent="0.3">
      <c r="A65" s="2">
        <v>1339</v>
      </c>
      <c r="B65" s="3">
        <v>45954</v>
      </c>
      <c r="C65" s="4" t="s">
        <v>75</v>
      </c>
      <c r="D65" s="4" t="s">
        <v>41</v>
      </c>
      <c r="E65" s="4" t="s">
        <v>76</v>
      </c>
      <c r="F65" s="4" t="s">
        <v>23</v>
      </c>
      <c r="G65" t="s">
        <v>42</v>
      </c>
      <c r="H65" s="2">
        <v>1</v>
      </c>
      <c r="I65" s="2">
        <v>25</v>
      </c>
      <c r="J65">
        <v>35</v>
      </c>
      <c r="K65">
        <v>0</v>
      </c>
      <c r="L65">
        <v>12</v>
      </c>
      <c r="M65" t="s">
        <v>43</v>
      </c>
      <c r="N65" t="s">
        <v>26</v>
      </c>
      <c r="O65">
        <v>34</v>
      </c>
      <c r="P65" t="s">
        <v>36</v>
      </c>
      <c r="Q65" t="s">
        <v>53</v>
      </c>
      <c r="R65" t="s">
        <v>86</v>
      </c>
      <c r="S65" t="s">
        <v>411</v>
      </c>
      <c r="T65" s="1">
        <v>46801</v>
      </c>
      <c r="U65">
        <f t="shared" si="0"/>
        <v>35</v>
      </c>
      <c r="V65">
        <f t="shared" si="1"/>
        <v>25</v>
      </c>
      <c r="W65">
        <f t="shared" si="2"/>
        <v>10</v>
      </c>
      <c r="X65" s="5">
        <f t="shared" si="3"/>
        <v>0.2857142857142857</v>
      </c>
      <c r="Y65">
        <f t="shared" si="4"/>
        <v>2025</v>
      </c>
      <c r="Z65">
        <f t="shared" si="5"/>
        <v>10</v>
      </c>
    </row>
    <row r="66" spans="1:26" x14ac:dyDescent="0.3">
      <c r="A66" s="2">
        <v>1342</v>
      </c>
      <c r="B66" s="3">
        <v>45811</v>
      </c>
      <c r="C66" s="4" t="s">
        <v>47</v>
      </c>
      <c r="D66" s="4" t="s">
        <v>48</v>
      </c>
      <c r="E66" s="4" t="s">
        <v>49</v>
      </c>
      <c r="F66" s="4" t="s">
        <v>50</v>
      </c>
      <c r="G66" t="s">
        <v>51</v>
      </c>
      <c r="H66" s="2">
        <v>1</v>
      </c>
      <c r="I66" s="2">
        <v>35</v>
      </c>
      <c r="J66">
        <v>50</v>
      </c>
      <c r="K66">
        <v>5</v>
      </c>
      <c r="L66">
        <v>12</v>
      </c>
      <c r="M66" t="s">
        <v>43</v>
      </c>
      <c r="N66" t="s">
        <v>26</v>
      </c>
      <c r="O66">
        <v>60</v>
      </c>
      <c r="P66" t="s">
        <v>45</v>
      </c>
      <c r="Q66" t="s">
        <v>59</v>
      </c>
      <c r="R66" t="s">
        <v>86</v>
      </c>
      <c r="S66" t="s">
        <v>414</v>
      </c>
      <c r="T66" s="1">
        <v>46451</v>
      </c>
      <c r="U66">
        <f t="shared" si="0"/>
        <v>50</v>
      </c>
      <c r="V66">
        <f t="shared" si="1"/>
        <v>35</v>
      </c>
      <c r="W66">
        <f t="shared" si="2"/>
        <v>15</v>
      </c>
      <c r="X66" s="5">
        <f t="shared" si="3"/>
        <v>0.3</v>
      </c>
      <c r="Y66">
        <f t="shared" si="4"/>
        <v>2025</v>
      </c>
      <c r="Z66">
        <f t="shared" si="5"/>
        <v>6</v>
      </c>
    </row>
    <row r="67" spans="1:26" x14ac:dyDescent="0.3">
      <c r="A67" s="2">
        <v>1350</v>
      </c>
      <c r="B67" s="3">
        <v>45677</v>
      </c>
      <c r="C67" s="4" t="s">
        <v>108</v>
      </c>
      <c r="D67" s="4" t="s">
        <v>32</v>
      </c>
      <c r="E67" s="4" t="s">
        <v>109</v>
      </c>
      <c r="F67" s="4" t="s">
        <v>23</v>
      </c>
      <c r="G67" t="s">
        <v>82</v>
      </c>
      <c r="H67" s="2">
        <v>1</v>
      </c>
      <c r="I67" s="2">
        <v>90</v>
      </c>
      <c r="J67">
        <v>120</v>
      </c>
      <c r="K67">
        <v>5</v>
      </c>
      <c r="L67">
        <v>12</v>
      </c>
      <c r="M67" t="s">
        <v>35</v>
      </c>
      <c r="N67" t="s">
        <v>44</v>
      </c>
      <c r="O67">
        <v>40</v>
      </c>
      <c r="P67" t="s">
        <v>36</v>
      </c>
      <c r="Q67" t="s">
        <v>53</v>
      </c>
      <c r="R67" t="s">
        <v>38</v>
      </c>
      <c r="S67" t="s">
        <v>422</v>
      </c>
      <c r="T67" s="1">
        <v>46292</v>
      </c>
      <c r="U67">
        <f t="shared" ref="U67:U130" si="6">(H67*J67)</f>
        <v>120</v>
      </c>
      <c r="V67">
        <f t="shared" ref="V67:V130" si="7">(H67*I67)</f>
        <v>90</v>
      </c>
      <c r="W67">
        <f t="shared" ref="W67:W130" si="8">(U67-V67)</f>
        <v>30</v>
      </c>
      <c r="X67" s="5">
        <f t="shared" ref="X67:X130" si="9">(W67/U67)</f>
        <v>0.25</v>
      </c>
      <c r="Y67">
        <f t="shared" ref="Y67:Y130" si="10">YEAR(B67)</f>
        <v>2025</v>
      </c>
      <c r="Z67">
        <f t="shared" ref="Z67:Z130" si="11">MONTH(B67)</f>
        <v>1</v>
      </c>
    </row>
    <row r="68" spans="1:26" x14ac:dyDescent="0.3">
      <c r="A68" s="2">
        <v>1355</v>
      </c>
      <c r="B68" s="3">
        <v>45818</v>
      </c>
      <c r="C68" s="4" t="s">
        <v>20</v>
      </c>
      <c r="D68" s="4" t="s">
        <v>21</v>
      </c>
      <c r="E68" s="4" t="s">
        <v>22</v>
      </c>
      <c r="F68" s="4" t="s">
        <v>23</v>
      </c>
      <c r="G68" t="s">
        <v>24</v>
      </c>
      <c r="H68" s="2">
        <v>1</v>
      </c>
      <c r="I68" s="2">
        <v>60</v>
      </c>
      <c r="J68">
        <v>85</v>
      </c>
      <c r="K68">
        <v>5</v>
      </c>
      <c r="L68">
        <v>12</v>
      </c>
      <c r="M68" t="s">
        <v>43</v>
      </c>
      <c r="N68" t="s">
        <v>26</v>
      </c>
      <c r="O68">
        <v>51</v>
      </c>
      <c r="P68" t="s">
        <v>36</v>
      </c>
      <c r="Q68" t="s">
        <v>37</v>
      </c>
      <c r="R68" t="s">
        <v>86</v>
      </c>
      <c r="S68" t="s">
        <v>425</v>
      </c>
      <c r="T68" s="1">
        <v>46329</v>
      </c>
      <c r="U68">
        <f t="shared" si="6"/>
        <v>85</v>
      </c>
      <c r="V68">
        <f t="shared" si="7"/>
        <v>60</v>
      </c>
      <c r="W68">
        <f t="shared" si="8"/>
        <v>25</v>
      </c>
      <c r="X68" s="5">
        <f t="shared" si="9"/>
        <v>0.29411764705882354</v>
      </c>
      <c r="Y68">
        <f t="shared" si="10"/>
        <v>2025</v>
      </c>
      <c r="Z68">
        <f t="shared" si="11"/>
        <v>6</v>
      </c>
    </row>
    <row r="69" spans="1:26" x14ac:dyDescent="0.3">
      <c r="A69" s="2">
        <v>1356</v>
      </c>
      <c r="B69" s="3">
        <v>45990</v>
      </c>
      <c r="C69" s="4" t="s">
        <v>92</v>
      </c>
      <c r="D69" s="4" t="s">
        <v>48</v>
      </c>
      <c r="E69" s="4" t="s">
        <v>54</v>
      </c>
      <c r="F69" s="4" t="s">
        <v>23</v>
      </c>
      <c r="G69" t="s">
        <v>82</v>
      </c>
      <c r="H69" s="2">
        <v>1</v>
      </c>
      <c r="I69" s="2">
        <v>18</v>
      </c>
      <c r="J69">
        <v>28</v>
      </c>
      <c r="K69">
        <v>0</v>
      </c>
      <c r="L69">
        <v>12</v>
      </c>
      <c r="M69" t="s">
        <v>35</v>
      </c>
      <c r="N69" t="s">
        <v>26</v>
      </c>
      <c r="O69">
        <v>30</v>
      </c>
      <c r="P69" t="s">
        <v>52</v>
      </c>
      <c r="Q69" t="s">
        <v>66</v>
      </c>
      <c r="R69" t="s">
        <v>22</v>
      </c>
      <c r="S69" t="s">
        <v>426</v>
      </c>
      <c r="T69" s="1">
        <v>46365</v>
      </c>
      <c r="U69">
        <f t="shared" si="6"/>
        <v>28</v>
      </c>
      <c r="V69">
        <f t="shared" si="7"/>
        <v>18</v>
      </c>
      <c r="W69">
        <f t="shared" si="8"/>
        <v>10</v>
      </c>
      <c r="X69" s="5">
        <f t="shared" si="9"/>
        <v>0.35714285714285715</v>
      </c>
      <c r="Y69">
        <f t="shared" si="10"/>
        <v>2025</v>
      </c>
      <c r="Z69">
        <f t="shared" si="11"/>
        <v>11</v>
      </c>
    </row>
    <row r="70" spans="1:26" x14ac:dyDescent="0.3">
      <c r="A70" s="2">
        <v>1357</v>
      </c>
      <c r="B70" s="3">
        <v>45936</v>
      </c>
      <c r="C70" s="4" t="s">
        <v>92</v>
      </c>
      <c r="D70" s="4" t="s">
        <v>48</v>
      </c>
      <c r="E70" s="4" t="s">
        <v>54</v>
      </c>
      <c r="F70" s="4" t="s">
        <v>23</v>
      </c>
      <c r="G70" t="s">
        <v>82</v>
      </c>
      <c r="H70" s="2">
        <v>1</v>
      </c>
      <c r="I70" s="2">
        <v>18</v>
      </c>
      <c r="J70">
        <v>28</v>
      </c>
      <c r="K70">
        <v>0</v>
      </c>
      <c r="L70">
        <v>12</v>
      </c>
      <c r="M70" t="s">
        <v>43</v>
      </c>
      <c r="N70" t="s">
        <v>44</v>
      </c>
      <c r="O70">
        <v>23</v>
      </c>
      <c r="P70" t="s">
        <v>36</v>
      </c>
      <c r="Q70" t="s">
        <v>37</v>
      </c>
      <c r="R70" t="s">
        <v>22</v>
      </c>
      <c r="S70" t="s">
        <v>427</v>
      </c>
      <c r="T70" s="1">
        <v>46162</v>
      </c>
      <c r="U70">
        <f t="shared" si="6"/>
        <v>28</v>
      </c>
      <c r="V70">
        <f t="shared" si="7"/>
        <v>18</v>
      </c>
      <c r="W70">
        <f t="shared" si="8"/>
        <v>10</v>
      </c>
      <c r="X70" s="5">
        <f t="shared" si="9"/>
        <v>0.35714285714285715</v>
      </c>
      <c r="Y70">
        <f t="shared" si="10"/>
        <v>2025</v>
      </c>
      <c r="Z70">
        <f t="shared" si="11"/>
        <v>10</v>
      </c>
    </row>
    <row r="71" spans="1:26" x14ac:dyDescent="0.3">
      <c r="A71" s="2">
        <v>1364</v>
      </c>
      <c r="B71" s="3">
        <v>45877</v>
      </c>
      <c r="C71" s="4" t="s">
        <v>40</v>
      </c>
      <c r="D71" s="4" t="s">
        <v>41</v>
      </c>
      <c r="E71" s="4" t="s">
        <v>33</v>
      </c>
      <c r="F71" s="4" t="s">
        <v>23</v>
      </c>
      <c r="G71" t="s">
        <v>42</v>
      </c>
      <c r="H71" s="2">
        <v>1</v>
      </c>
      <c r="I71" s="2">
        <v>24</v>
      </c>
      <c r="J71">
        <v>34</v>
      </c>
      <c r="K71">
        <v>5</v>
      </c>
      <c r="L71">
        <v>12</v>
      </c>
      <c r="M71" t="s">
        <v>35</v>
      </c>
      <c r="N71" t="s">
        <v>44</v>
      </c>
      <c r="O71">
        <v>34</v>
      </c>
      <c r="P71" t="s">
        <v>36</v>
      </c>
      <c r="Q71" t="s">
        <v>66</v>
      </c>
      <c r="R71" t="s">
        <v>29</v>
      </c>
      <c r="S71" t="s">
        <v>434</v>
      </c>
      <c r="T71" s="1">
        <v>46405</v>
      </c>
      <c r="U71">
        <f t="shared" si="6"/>
        <v>34</v>
      </c>
      <c r="V71">
        <f t="shared" si="7"/>
        <v>24</v>
      </c>
      <c r="W71">
        <f t="shared" si="8"/>
        <v>10</v>
      </c>
      <c r="X71" s="5">
        <f t="shared" si="9"/>
        <v>0.29411764705882354</v>
      </c>
      <c r="Y71">
        <f t="shared" si="10"/>
        <v>2025</v>
      </c>
      <c r="Z71">
        <f t="shared" si="11"/>
        <v>8</v>
      </c>
    </row>
    <row r="72" spans="1:26" x14ac:dyDescent="0.3">
      <c r="A72" s="2">
        <v>1365</v>
      </c>
      <c r="B72" s="3">
        <v>45742</v>
      </c>
      <c r="C72" s="4" t="s">
        <v>40</v>
      </c>
      <c r="D72" s="4" t="s">
        <v>41</v>
      </c>
      <c r="E72" s="4" t="s">
        <v>33</v>
      </c>
      <c r="F72" s="4" t="s">
        <v>23</v>
      </c>
      <c r="G72" t="s">
        <v>42</v>
      </c>
      <c r="H72" s="2">
        <v>1</v>
      </c>
      <c r="I72" s="2">
        <v>24</v>
      </c>
      <c r="J72">
        <v>34</v>
      </c>
      <c r="K72">
        <v>5</v>
      </c>
      <c r="L72">
        <v>12</v>
      </c>
      <c r="M72" t="s">
        <v>25</v>
      </c>
      <c r="N72" t="s">
        <v>44</v>
      </c>
      <c r="O72">
        <v>20</v>
      </c>
      <c r="P72" t="s">
        <v>45</v>
      </c>
      <c r="Q72" t="s">
        <v>59</v>
      </c>
      <c r="R72" t="s">
        <v>29</v>
      </c>
      <c r="S72" t="s">
        <v>435</v>
      </c>
      <c r="T72" s="1">
        <v>46640</v>
      </c>
      <c r="U72">
        <f t="shared" si="6"/>
        <v>34</v>
      </c>
      <c r="V72">
        <f t="shared" si="7"/>
        <v>24</v>
      </c>
      <c r="W72">
        <f t="shared" si="8"/>
        <v>10</v>
      </c>
      <c r="X72" s="5">
        <f t="shared" si="9"/>
        <v>0.29411764705882354</v>
      </c>
      <c r="Y72">
        <f t="shared" si="10"/>
        <v>2025</v>
      </c>
      <c r="Z72">
        <f t="shared" si="11"/>
        <v>3</v>
      </c>
    </row>
    <row r="73" spans="1:26" x14ac:dyDescent="0.3">
      <c r="A73" s="2">
        <v>1369</v>
      </c>
      <c r="B73" s="3">
        <v>45956</v>
      </c>
      <c r="C73" s="4" t="s">
        <v>84</v>
      </c>
      <c r="D73" s="4" t="s">
        <v>85</v>
      </c>
      <c r="E73" s="4" t="s">
        <v>63</v>
      </c>
      <c r="F73" s="4" t="s">
        <v>23</v>
      </c>
      <c r="G73" t="s">
        <v>82</v>
      </c>
      <c r="H73" s="2">
        <v>1</v>
      </c>
      <c r="I73" s="2">
        <v>45</v>
      </c>
      <c r="J73">
        <v>65</v>
      </c>
      <c r="K73">
        <v>5</v>
      </c>
      <c r="L73">
        <v>12</v>
      </c>
      <c r="M73" t="s">
        <v>43</v>
      </c>
      <c r="N73" t="s">
        <v>26</v>
      </c>
      <c r="O73">
        <v>50</v>
      </c>
      <c r="P73" t="s">
        <v>36</v>
      </c>
      <c r="Q73" t="s">
        <v>59</v>
      </c>
      <c r="R73" t="s">
        <v>86</v>
      </c>
      <c r="S73" t="s">
        <v>439</v>
      </c>
      <c r="T73" s="1">
        <v>46562</v>
      </c>
      <c r="U73">
        <f t="shared" si="6"/>
        <v>65</v>
      </c>
      <c r="V73">
        <f t="shared" si="7"/>
        <v>45</v>
      </c>
      <c r="W73">
        <f t="shared" si="8"/>
        <v>20</v>
      </c>
      <c r="X73" s="5">
        <f t="shared" si="9"/>
        <v>0.30769230769230771</v>
      </c>
      <c r="Y73">
        <f t="shared" si="10"/>
        <v>2025</v>
      </c>
      <c r="Z73">
        <f t="shared" si="11"/>
        <v>10</v>
      </c>
    </row>
    <row r="74" spans="1:26" x14ac:dyDescent="0.3">
      <c r="A74" s="2">
        <v>1370</v>
      </c>
      <c r="B74" s="3">
        <v>45919</v>
      </c>
      <c r="C74" s="4" t="s">
        <v>84</v>
      </c>
      <c r="D74" s="4" t="s">
        <v>85</v>
      </c>
      <c r="E74" s="4" t="s">
        <v>63</v>
      </c>
      <c r="F74" s="4" t="s">
        <v>23</v>
      </c>
      <c r="G74" t="s">
        <v>82</v>
      </c>
      <c r="H74" s="2">
        <v>1</v>
      </c>
      <c r="I74" s="2">
        <v>45</v>
      </c>
      <c r="J74">
        <v>65</v>
      </c>
      <c r="K74">
        <v>5</v>
      </c>
      <c r="L74">
        <v>12</v>
      </c>
      <c r="M74" t="s">
        <v>35</v>
      </c>
      <c r="N74" t="s">
        <v>26</v>
      </c>
      <c r="O74">
        <v>47</v>
      </c>
      <c r="P74" t="s">
        <v>27</v>
      </c>
      <c r="Q74" t="s">
        <v>37</v>
      </c>
      <c r="R74" t="s">
        <v>22</v>
      </c>
      <c r="S74" t="s">
        <v>440</v>
      </c>
      <c r="T74" s="1">
        <v>46265</v>
      </c>
      <c r="U74">
        <f t="shared" si="6"/>
        <v>65</v>
      </c>
      <c r="V74">
        <f t="shared" si="7"/>
        <v>45</v>
      </c>
      <c r="W74">
        <f t="shared" si="8"/>
        <v>20</v>
      </c>
      <c r="X74" s="5">
        <f t="shared" si="9"/>
        <v>0.30769230769230771</v>
      </c>
      <c r="Y74">
        <f t="shared" si="10"/>
        <v>2025</v>
      </c>
      <c r="Z74">
        <f t="shared" si="11"/>
        <v>9</v>
      </c>
    </row>
    <row r="75" spans="1:26" x14ac:dyDescent="0.3">
      <c r="A75" s="2">
        <v>1371</v>
      </c>
      <c r="B75" s="3">
        <v>45908</v>
      </c>
      <c r="C75" s="4" t="s">
        <v>20</v>
      </c>
      <c r="D75" s="4" t="s">
        <v>21</v>
      </c>
      <c r="E75" s="4" t="s">
        <v>22</v>
      </c>
      <c r="F75" s="4" t="s">
        <v>23</v>
      </c>
      <c r="G75" t="s">
        <v>24</v>
      </c>
      <c r="H75" s="2">
        <v>1</v>
      </c>
      <c r="I75" s="2">
        <v>60</v>
      </c>
      <c r="J75">
        <v>85</v>
      </c>
      <c r="K75">
        <v>5</v>
      </c>
      <c r="L75">
        <v>12</v>
      </c>
      <c r="M75" t="s">
        <v>43</v>
      </c>
      <c r="N75" t="s">
        <v>26</v>
      </c>
      <c r="O75">
        <v>64</v>
      </c>
      <c r="P75" t="s">
        <v>36</v>
      </c>
      <c r="Q75" t="s">
        <v>66</v>
      </c>
      <c r="R75" t="s">
        <v>86</v>
      </c>
      <c r="S75" t="s">
        <v>441</v>
      </c>
      <c r="T75" s="1">
        <v>46408</v>
      </c>
      <c r="U75">
        <f t="shared" si="6"/>
        <v>85</v>
      </c>
      <c r="V75">
        <f t="shared" si="7"/>
        <v>60</v>
      </c>
      <c r="W75">
        <f t="shared" si="8"/>
        <v>25</v>
      </c>
      <c r="X75" s="5">
        <f t="shared" si="9"/>
        <v>0.29411764705882354</v>
      </c>
      <c r="Y75">
        <f t="shared" si="10"/>
        <v>2025</v>
      </c>
      <c r="Z75">
        <f t="shared" si="11"/>
        <v>9</v>
      </c>
    </row>
    <row r="76" spans="1:26" x14ac:dyDescent="0.3">
      <c r="A76" s="2">
        <v>1373</v>
      </c>
      <c r="B76" s="3">
        <v>45799</v>
      </c>
      <c r="C76" s="4" t="s">
        <v>105</v>
      </c>
      <c r="D76" s="4" t="s">
        <v>106</v>
      </c>
      <c r="E76" s="4" t="s">
        <v>22</v>
      </c>
      <c r="F76" s="4" t="s">
        <v>23</v>
      </c>
      <c r="G76" t="s">
        <v>51</v>
      </c>
      <c r="H76" s="2">
        <v>1</v>
      </c>
      <c r="I76" s="2">
        <v>95</v>
      </c>
      <c r="J76">
        <v>125</v>
      </c>
      <c r="K76">
        <v>10</v>
      </c>
      <c r="L76">
        <v>12</v>
      </c>
      <c r="M76" t="s">
        <v>25</v>
      </c>
      <c r="N76" t="s">
        <v>26</v>
      </c>
      <c r="O76">
        <v>68</v>
      </c>
      <c r="P76" t="s">
        <v>36</v>
      </c>
      <c r="Q76" t="s">
        <v>53</v>
      </c>
      <c r="R76" t="s">
        <v>54</v>
      </c>
      <c r="S76" t="s">
        <v>443</v>
      </c>
      <c r="T76" s="1">
        <v>46314</v>
      </c>
      <c r="U76">
        <f t="shared" si="6"/>
        <v>125</v>
      </c>
      <c r="V76">
        <f t="shared" si="7"/>
        <v>95</v>
      </c>
      <c r="W76">
        <f t="shared" si="8"/>
        <v>30</v>
      </c>
      <c r="X76" s="5">
        <f t="shared" si="9"/>
        <v>0.24</v>
      </c>
      <c r="Y76">
        <f t="shared" si="10"/>
        <v>2025</v>
      </c>
      <c r="Z76">
        <f t="shared" si="11"/>
        <v>5</v>
      </c>
    </row>
    <row r="77" spans="1:26" x14ac:dyDescent="0.3">
      <c r="A77" s="2">
        <v>1376</v>
      </c>
      <c r="B77" s="3">
        <v>45996</v>
      </c>
      <c r="C77" s="4" t="s">
        <v>92</v>
      </c>
      <c r="D77" s="4" t="s">
        <v>48</v>
      </c>
      <c r="E77" s="4" t="s">
        <v>54</v>
      </c>
      <c r="F77" s="4" t="s">
        <v>23</v>
      </c>
      <c r="G77" t="s">
        <v>82</v>
      </c>
      <c r="H77" s="2">
        <v>1</v>
      </c>
      <c r="I77" s="2">
        <v>18</v>
      </c>
      <c r="J77">
        <v>28</v>
      </c>
      <c r="K77">
        <v>0</v>
      </c>
      <c r="L77">
        <v>12</v>
      </c>
      <c r="M77" t="s">
        <v>35</v>
      </c>
      <c r="N77" t="s">
        <v>26</v>
      </c>
      <c r="O77">
        <v>28</v>
      </c>
      <c r="P77" t="s">
        <v>45</v>
      </c>
      <c r="Q77" t="s">
        <v>66</v>
      </c>
      <c r="R77" t="s">
        <v>38</v>
      </c>
      <c r="S77" t="s">
        <v>446</v>
      </c>
      <c r="T77" s="1">
        <v>46481</v>
      </c>
      <c r="U77">
        <f t="shared" si="6"/>
        <v>28</v>
      </c>
      <c r="V77">
        <f t="shared" si="7"/>
        <v>18</v>
      </c>
      <c r="W77">
        <f t="shared" si="8"/>
        <v>10</v>
      </c>
      <c r="X77" s="5">
        <f t="shared" si="9"/>
        <v>0.35714285714285715</v>
      </c>
      <c r="Y77">
        <f t="shared" si="10"/>
        <v>2025</v>
      </c>
      <c r="Z77">
        <f t="shared" si="11"/>
        <v>12</v>
      </c>
    </row>
    <row r="78" spans="1:26" x14ac:dyDescent="0.3">
      <c r="A78" s="2">
        <v>1381</v>
      </c>
      <c r="B78" s="3">
        <v>45735</v>
      </c>
      <c r="C78" s="4" t="s">
        <v>84</v>
      </c>
      <c r="D78" s="4" t="s">
        <v>85</v>
      </c>
      <c r="E78" s="4" t="s">
        <v>63</v>
      </c>
      <c r="F78" s="4" t="s">
        <v>23</v>
      </c>
      <c r="G78" t="s">
        <v>82</v>
      </c>
      <c r="H78" s="2">
        <v>1</v>
      </c>
      <c r="I78" s="2">
        <v>45</v>
      </c>
      <c r="J78">
        <v>65</v>
      </c>
      <c r="K78">
        <v>0</v>
      </c>
      <c r="L78">
        <v>12</v>
      </c>
      <c r="M78" t="s">
        <v>43</v>
      </c>
      <c r="N78" t="s">
        <v>44</v>
      </c>
      <c r="O78">
        <v>28</v>
      </c>
      <c r="P78" t="s">
        <v>52</v>
      </c>
      <c r="Q78" t="s">
        <v>53</v>
      </c>
      <c r="R78" t="s">
        <v>22</v>
      </c>
      <c r="S78" t="s">
        <v>451</v>
      </c>
      <c r="T78" s="1">
        <v>46292</v>
      </c>
      <c r="U78">
        <f t="shared" si="6"/>
        <v>65</v>
      </c>
      <c r="V78">
        <f t="shared" si="7"/>
        <v>45</v>
      </c>
      <c r="W78">
        <f t="shared" si="8"/>
        <v>20</v>
      </c>
      <c r="X78" s="5">
        <f t="shared" si="9"/>
        <v>0.30769230769230771</v>
      </c>
      <c r="Y78">
        <f t="shared" si="10"/>
        <v>2025</v>
      </c>
      <c r="Z78">
        <f t="shared" si="11"/>
        <v>3</v>
      </c>
    </row>
    <row r="79" spans="1:26" x14ac:dyDescent="0.3">
      <c r="A79" s="2">
        <v>1384</v>
      </c>
      <c r="B79" s="3">
        <v>45785</v>
      </c>
      <c r="C79" s="4" t="s">
        <v>98</v>
      </c>
      <c r="D79" s="4" t="s">
        <v>41</v>
      </c>
      <c r="E79" s="4" t="s">
        <v>33</v>
      </c>
      <c r="F79" s="4" t="s">
        <v>23</v>
      </c>
      <c r="G79" t="s">
        <v>82</v>
      </c>
      <c r="H79" s="2">
        <v>1</v>
      </c>
      <c r="I79" s="2">
        <v>22</v>
      </c>
      <c r="J79">
        <v>32</v>
      </c>
      <c r="K79">
        <v>0</v>
      </c>
      <c r="L79">
        <v>12</v>
      </c>
      <c r="M79" t="s">
        <v>35</v>
      </c>
      <c r="N79" t="s">
        <v>26</v>
      </c>
      <c r="O79">
        <v>36</v>
      </c>
      <c r="P79" t="s">
        <v>52</v>
      </c>
      <c r="Q79" t="s">
        <v>37</v>
      </c>
      <c r="R79" t="s">
        <v>22</v>
      </c>
      <c r="S79" t="s">
        <v>454</v>
      </c>
      <c r="T79" s="1">
        <v>46404</v>
      </c>
      <c r="U79">
        <f t="shared" si="6"/>
        <v>32</v>
      </c>
      <c r="V79">
        <f t="shared" si="7"/>
        <v>22</v>
      </c>
      <c r="W79">
        <f t="shared" si="8"/>
        <v>10</v>
      </c>
      <c r="X79" s="5">
        <f t="shared" si="9"/>
        <v>0.3125</v>
      </c>
      <c r="Y79">
        <f t="shared" si="10"/>
        <v>2025</v>
      </c>
      <c r="Z79">
        <f t="shared" si="11"/>
        <v>5</v>
      </c>
    </row>
    <row r="80" spans="1:26" x14ac:dyDescent="0.3">
      <c r="A80" s="2">
        <v>1385</v>
      </c>
      <c r="B80" s="3">
        <v>45873</v>
      </c>
      <c r="C80" s="4" t="s">
        <v>31</v>
      </c>
      <c r="D80" s="4" t="s">
        <v>32</v>
      </c>
      <c r="E80" s="4" t="s">
        <v>33</v>
      </c>
      <c r="F80" s="4" t="s">
        <v>23</v>
      </c>
      <c r="G80" t="s">
        <v>34</v>
      </c>
      <c r="H80" s="2">
        <v>1</v>
      </c>
      <c r="I80" s="2">
        <v>140</v>
      </c>
      <c r="J80">
        <v>180</v>
      </c>
      <c r="K80">
        <v>10</v>
      </c>
      <c r="L80">
        <v>12</v>
      </c>
      <c r="M80" t="s">
        <v>35</v>
      </c>
      <c r="N80" t="s">
        <v>26</v>
      </c>
      <c r="O80">
        <v>58</v>
      </c>
      <c r="P80" t="s">
        <v>36</v>
      </c>
      <c r="Q80" t="s">
        <v>66</v>
      </c>
      <c r="R80" t="s">
        <v>38</v>
      </c>
      <c r="S80" t="s">
        <v>455</v>
      </c>
      <c r="T80" s="1">
        <v>46717</v>
      </c>
      <c r="U80">
        <f t="shared" si="6"/>
        <v>180</v>
      </c>
      <c r="V80">
        <f t="shared" si="7"/>
        <v>140</v>
      </c>
      <c r="W80">
        <f t="shared" si="8"/>
        <v>40</v>
      </c>
      <c r="X80" s="5">
        <f t="shared" si="9"/>
        <v>0.22222222222222221</v>
      </c>
      <c r="Y80">
        <f t="shared" si="10"/>
        <v>2025</v>
      </c>
      <c r="Z80">
        <f t="shared" si="11"/>
        <v>8</v>
      </c>
    </row>
    <row r="81" spans="1:26" x14ac:dyDescent="0.3">
      <c r="A81" s="2">
        <v>1409</v>
      </c>
      <c r="B81" s="3">
        <v>45710</v>
      </c>
      <c r="C81" s="4" t="s">
        <v>47</v>
      </c>
      <c r="D81" s="4" t="s">
        <v>48</v>
      </c>
      <c r="E81" s="4" t="s">
        <v>49</v>
      </c>
      <c r="F81" s="4" t="s">
        <v>50</v>
      </c>
      <c r="G81" t="s">
        <v>51</v>
      </c>
      <c r="H81" s="2">
        <v>1</v>
      </c>
      <c r="I81" s="2">
        <v>35</v>
      </c>
      <c r="J81">
        <v>50</v>
      </c>
      <c r="K81">
        <v>10</v>
      </c>
      <c r="L81">
        <v>12</v>
      </c>
      <c r="M81" t="s">
        <v>25</v>
      </c>
      <c r="N81" t="s">
        <v>44</v>
      </c>
      <c r="O81">
        <v>71</v>
      </c>
      <c r="P81" t="s">
        <v>27</v>
      </c>
      <c r="Q81" t="s">
        <v>28</v>
      </c>
      <c r="R81" t="s">
        <v>29</v>
      </c>
      <c r="S81" t="s">
        <v>478</v>
      </c>
      <c r="T81" s="1">
        <v>45960</v>
      </c>
      <c r="U81">
        <f t="shared" si="6"/>
        <v>50</v>
      </c>
      <c r="V81">
        <f t="shared" si="7"/>
        <v>35</v>
      </c>
      <c r="W81">
        <f t="shared" si="8"/>
        <v>15</v>
      </c>
      <c r="X81" s="5">
        <f t="shared" si="9"/>
        <v>0.3</v>
      </c>
      <c r="Y81">
        <f t="shared" si="10"/>
        <v>2025</v>
      </c>
      <c r="Z81">
        <f t="shared" si="11"/>
        <v>2</v>
      </c>
    </row>
    <row r="82" spans="1:26" x14ac:dyDescent="0.3">
      <c r="A82" s="2">
        <v>1412</v>
      </c>
      <c r="B82" s="3">
        <v>45909</v>
      </c>
      <c r="C82" s="4" t="s">
        <v>47</v>
      </c>
      <c r="D82" s="4" t="s">
        <v>48</v>
      </c>
      <c r="E82" s="4" t="s">
        <v>49</v>
      </c>
      <c r="F82" s="4" t="s">
        <v>50</v>
      </c>
      <c r="G82" t="s">
        <v>51</v>
      </c>
      <c r="H82" s="2">
        <v>1</v>
      </c>
      <c r="I82" s="2">
        <v>35</v>
      </c>
      <c r="J82">
        <v>50</v>
      </c>
      <c r="K82">
        <v>10</v>
      </c>
      <c r="L82">
        <v>12</v>
      </c>
      <c r="M82" t="s">
        <v>43</v>
      </c>
      <c r="N82" t="s">
        <v>44</v>
      </c>
      <c r="O82">
        <v>33</v>
      </c>
      <c r="P82" t="s">
        <v>52</v>
      </c>
      <c r="Q82" t="s">
        <v>53</v>
      </c>
      <c r="R82" t="s">
        <v>22</v>
      </c>
      <c r="S82" t="s">
        <v>481</v>
      </c>
      <c r="T82" s="1">
        <v>46685</v>
      </c>
      <c r="U82">
        <f t="shared" si="6"/>
        <v>50</v>
      </c>
      <c r="V82">
        <f t="shared" si="7"/>
        <v>35</v>
      </c>
      <c r="W82">
        <f t="shared" si="8"/>
        <v>15</v>
      </c>
      <c r="X82" s="5">
        <f t="shared" si="9"/>
        <v>0.3</v>
      </c>
      <c r="Y82">
        <f t="shared" si="10"/>
        <v>2025</v>
      </c>
      <c r="Z82">
        <f t="shared" si="11"/>
        <v>9</v>
      </c>
    </row>
    <row r="83" spans="1:26" x14ac:dyDescent="0.3">
      <c r="A83" s="2">
        <v>1415</v>
      </c>
      <c r="B83" s="3">
        <v>45999</v>
      </c>
      <c r="C83" s="4" t="s">
        <v>69</v>
      </c>
      <c r="D83" s="4" t="s">
        <v>48</v>
      </c>
      <c r="E83" s="4" t="s">
        <v>70</v>
      </c>
      <c r="F83" s="4" t="s">
        <v>50</v>
      </c>
      <c r="G83" t="s">
        <v>71</v>
      </c>
      <c r="H83" s="2">
        <v>1</v>
      </c>
      <c r="I83" s="2">
        <v>25</v>
      </c>
      <c r="J83">
        <v>38</v>
      </c>
      <c r="K83">
        <v>5</v>
      </c>
      <c r="L83">
        <v>12</v>
      </c>
      <c r="M83" t="s">
        <v>35</v>
      </c>
      <c r="N83" t="s">
        <v>44</v>
      </c>
      <c r="O83">
        <v>57</v>
      </c>
      <c r="P83" t="s">
        <v>27</v>
      </c>
      <c r="Q83" t="s">
        <v>53</v>
      </c>
      <c r="R83" t="s">
        <v>38</v>
      </c>
      <c r="S83" t="s">
        <v>483</v>
      </c>
      <c r="T83" s="1">
        <v>46373</v>
      </c>
      <c r="U83">
        <f t="shared" si="6"/>
        <v>38</v>
      </c>
      <c r="V83">
        <f t="shared" si="7"/>
        <v>25</v>
      </c>
      <c r="W83">
        <f t="shared" si="8"/>
        <v>13</v>
      </c>
      <c r="X83" s="5">
        <f t="shared" si="9"/>
        <v>0.34210526315789475</v>
      </c>
      <c r="Y83">
        <f t="shared" si="10"/>
        <v>2025</v>
      </c>
      <c r="Z83">
        <f t="shared" si="11"/>
        <v>12</v>
      </c>
    </row>
    <row r="84" spans="1:26" x14ac:dyDescent="0.3">
      <c r="A84" s="2">
        <v>1428</v>
      </c>
      <c r="B84" s="3">
        <v>45937</v>
      </c>
      <c r="C84" s="4" t="s">
        <v>75</v>
      </c>
      <c r="D84" s="4" t="s">
        <v>41</v>
      </c>
      <c r="E84" s="4" t="s">
        <v>76</v>
      </c>
      <c r="F84" s="4" t="s">
        <v>23</v>
      </c>
      <c r="G84" t="s">
        <v>42</v>
      </c>
      <c r="H84" s="2">
        <v>1</v>
      </c>
      <c r="I84" s="2">
        <v>25</v>
      </c>
      <c r="J84">
        <v>35</v>
      </c>
      <c r="K84">
        <v>10</v>
      </c>
      <c r="L84">
        <v>12</v>
      </c>
      <c r="M84" t="s">
        <v>43</v>
      </c>
      <c r="N84" t="s">
        <v>26</v>
      </c>
      <c r="O84">
        <v>59</v>
      </c>
      <c r="P84" t="s">
        <v>52</v>
      </c>
      <c r="Q84" t="s">
        <v>53</v>
      </c>
      <c r="R84" t="s">
        <v>22</v>
      </c>
      <c r="S84" t="s">
        <v>496</v>
      </c>
      <c r="T84" s="1">
        <v>46193</v>
      </c>
      <c r="U84">
        <f t="shared" si="6"/>
        <v>35</v>
      </c>
      <c r="V84">
        <f t="shared" si="7"/>
        <v>25</v>
      </c>
      <c r="W84">
        <f t="shared" si="8"/>
        <v>10</v>
      </c>
      <c r="X84" s="5">
        <f t="shared" si="9"/>
        <v>0.2857142857142857</v>
      </c>
      <c r="Y84">
        <f t="shared" si="10"/>
        <v>2025</v>
      </c>
      <c r="Z84">
        <f t="shared" si="11"/>
        <v>10</v>
      </c>
    </row>
    <row r="85" spans="1:26" x14ac:dyDescent="0.3">
      <c r="A85" s="2">
        <v>1429</v>
      </c>
      <c r="B85" s="3">
        <v>45666</v>
      </c>
      <c r="C85" s="4" t="s">
        <v>92</v>
      </c>
      <c r="D85" s="4" t="s">
        <v>48</v>
      </c>
      <c r="E85" s="4" t="s">
        <v>54</v>
      </c>
      <c r="F85" s="4" t="s">
        <v>23</v>
      </c>
      <c r="G85" t="s">
        <v>82</v>
      </c>
      <c r="H85" s="2">
        <v>1</v>
      </c>
      <c r="I85" s="2">
        <v>18</v>
      </c>
      <c r="J85">
        <v>28</v>
      </c>
      <c r="K85">
        <v>10</v>
      </c>
      <c r="L85">
        <v>12</v>
      </c>
      <c r="M85" t="s">
        <v>35</v>
      </c>
      <c r="N85" t="s">
        <v>44</v>
      </c>
      <c r="O85">
        <v>18</v>
      </c>
      <c r="P85" t="s">
        <v>45</v>
      </c>
      <c r="Q85" t="s">
        <v>59</v>
      </c>
      <c r="R85" t="s">
        <v>86</v>
      </c>
      <c r="S85" t="s">
        <v>497</v>
      </c>
      <c r="T85" s="1">
        <v>45975</v>
      </c>
      <c r="U85">
        <f t="shared" si="6"/>
        <v>28</v>
      </c>
      <c r="V85">
        <f t="shared" si="7"/>
        <v>18</v>
      </c>
      <c r="W85">
        <f t="shared" si="8"/>
        <v>10</v>
      </c>
      <c r="X85" s="5">
        <f t="shared" si="9"/>
        <v>0.35714285714285715</v>
      </c>
      <c r="Y85">
        <f t="shared" si="10"/>
        <v>2025</v>
      </c>
      <c r="Z85">
        <f t="shared" si="11"/>
        <v>1</v>
      </c>
    </row>
    <row r="86" spans="1:26" x14ac:dyDescent="0.3">
      <c r="A86" s="2">
        <v>1432</v>
      </c>
      <c r="B86" s="3">
        <v>45937</v>
      </c>
      <c r="C86" s="4" t="s">
        <v>40</v>
      </c>
      <c r="D86" s="4" t="s">
        <v>41</v>
      </c>
      <c r="E86" s="4" t="s">
        <v>33</v>
      </c>
      <c r="F86" s="4" t="s">
        <v>23</v>
      </c>
      <c r="G86" t="s">
        <v>42</v>
      </c>
      <c r="H86" s="2">
        <v>1</v>
      </c>
      <c r="I86" s="2">
        <v>24</v>
      </c>
      <c r="J86">
        <v>34</v>
      </c>
      <c r="K86">
        <v>0</v>
      </c>
      <c r="L86">
        <v>12</v>
      </c>
      <c r="M86" t="s">
        <v>35</v>
      </c>
      <c r="N86" t="s">
        <v>44</v>
      </c>
      <c r="O86">
        <v>75</v>
      </c>
      <c r="P86" t="s">
        <v>27</v>
      </c>
      <c r="Q86" t="s">
        <v>66</v>
      </c>
      <c r="R86" t="s">
        <v>54</v>
      </c>
      <c r="S86" t="s">
        <v>500</v>
      </c>
      <c r="T86" s="1">
        <v>46837</v>
      </c>
      <c r="U86">
        <f t="shared" si="6"/>
        <v>34</v>
      </c>
      <c r="V86">
        <f t="shared" si="7"/>
        <v>24</v>
      </c>
      <c r="W86">
        <f t="shared" si="8"/>
        <v>10</v>
      </c>
      <c r="X86" s="5">
        <f t="shared" si="9"/>
        <v>0.29411764705882354</v>
      </c>
      <c r="Y86">
        <f t="shared" si="10"/>
        <v>2025</v>
      </c>
      <c r="Z86">
        <f t="shared" si="11"/>
        <v>10</v>
      </c>
    </row>
    <row r="87" spans="1:26" x14ac:dyDescent="0.3">
      <c r="A87" s="2">
        <v>1442</v>
      </c>
      <c r="B87" s="3">
        <v>45879</v>
      </c>
      <c r="C87" s="4" t="s">
        <v>108</v>
      </c>
      <c r="D87" s="4" t="s">
        <v>32</v>
      </c>
      <c r="E87" s="4" t="s">
        <v>109</v>
      </c>
      <c r="F87" s="4" t="s">
        <v>23</v>
      </c>
      <c r="G87" t="s">
        <v>82</v>
      </c>
      <c r="H87" s="2">
        <v>1</v>
      </c>
      <c r="I87" s="2">
        <v>90</v>
      </c>
      <c r="J87">
        <v>120</v>
      </c>
      <c r="K87">
        <v>0</v>
      </c>
      <c r="L87">
        <v>12</v>
      </c>
      <c r="M87" t="s">
        <v>35</v>
      </c>
      <c r="N87" t="s">
        <v>44</v>
      </c>
      <c r="O87">
        <v>71</v>
      </c>
      <c r="P87" t="s">
        <v>36</v>
      </c>
      <c r="Q87" t="s">
        <v>53</v>
      </c>
      <c r="R87" t="s">
        <v>22</v>
      </c>
      <c r="S87" t="s">
        <v>510</v>
      </c>
      <c r="T87" s="1">
        <v>46466</v>
      </c>
      <c r="U87">
        <f t="shared" si="6"/>
        <v>120</v>
      </c>
      <c r="V87">
        <f t="shared" si="7"/>
        <v>90</v>
      </c>
      <c r="W87">
        <f t="shared" si="8"/>
        <v>30</v>
      </c>
      <c r="X87" s="5">
        <f t="shared" si="9"/>
        <v>0.25</v>
      </c>
      <c r="Y87">
        <f t="shared" si="10"/>
        <v>2025</v>
      </c>
      <c r="Z87">
        <f t="shared" si="11"/>
        <v>8</v>
      </c>
    </row>
    <row r="88" spans="1:26" x14ac:dyDescent="0.3">
      <c r="A88" s="2">
        <v>1449</v>
      </c>
      <c r="B88" s="3">
        <v>45901</v>
      </c>
      <c r="C88" s="4" t="s">
        <v>105</v>
      </c>
      <c r="D88" s="4" t="s">
        <v>106</v>
      </c>
      <c r="E88" s="4" t="s">
        <v>22</v>
      </c>
      <c r="F88" s="4" t="s">
        <v>23</v>
      </c>
      <c r="G88" t="s">
        <v>51</v>
      </c>
      <c r="H88" s="2">
        <v>1</v>
      </c>
      <c r="I88" s="2">
        <v>95</v>
      </c>
      <c r="J88">
        <v>125</v>
      </c>
      <c r="K88">
        <v>0</v>
      </c>
      <c r="L88">
        <v>12</v>
      </c>
      <c r="M88" t="s">
        <v>25</v>
      </c>
      <c r="N88" t="s">
        <v>26</v>
      </c>
      <c r="O88">
        <v>47</v>
      </c>
      <c r="P88" t="s">
        <v>27</v>
      </c>
      <c r="Q88" t="s">
        <v>59</v>
      </c>
      <c r="R88" t="s">
        <v>22</v>
      </c>
      <c r="S88" t="s">
        <v>517</v>
      </c>
      <c r="T88" s="1">
        <v>46758</v>
      </c>
      <c r="U88">
        <f t="shared" si="6"/>
        <v>125</v>
      </c>
      <c r="V88">
        <f t="shared" si="7"/>
        <v>95</v>
      </c>
      <c r="W88">
        <f t="shared" si="8"/>
        <v>30</v>
      </c>
      <c r="X88" s="5">
        <f t="shared" si="9"/>
        <v>0.24</v>
      </c>
      <c r="Y88">
        <f t="shared" si="10"/>
        <v>2025</v>
      </c>
      <c r="Z88">
        <f t="shared" si="11"/>
        <v>9</v>
      </c>
    </row>
    <row r="89" spans="1:26" x14ac:dyDescent="0.3">
      <c r="A89" s="2">
        <v>1454</v>
      </c>
      <c r="B89" s="3">
        <v>45858</v>
      </c>
      <c r="C89" s="4" t="s">
        <v>84</v>
      </c>
      <c r="D89" s="4" t="s">
        <v>85</v>
      </c>
      <c r="E89" s="4" t="s">
        <v>63</v>
      </c>
      <c r="F89" s="4" t="s">
        <v>23</v>
      </c>
      <c r="G89" t="s">
        <v>82</v>
      </c>
      <c r="H89" s="2">
        <v>1</v>
      </c>
      <c r="I89" s="2">
        <v>45</v>
      </c>
      <c r="J89">
        <v>65</v>
      </c>
      <c r="K89">
        <v>5</v>
      </c>
      <c r="L89">
        <v>12</v>
      </c>
      <c r="M89" t="s">
        <v>35</v>
      </c>
      <c r="N89" t="s">
        <v>26</v>
      </c>
      <c r="O89">
        <v>53</v>
      </c>
      <c r="P89" t="s">
        <v>52</v>
      </c>
      <c r="Q89" t="s">
        <v>53</v>
      </c>
      <c r="R89" t="s">
        <v>54</v>
      </c>
      <c r="S89" t="s">
        <v>522</v>
      </c>
      <c r="T89" s="1">
        <v>46480</v>
      </c>
      <c r="U89">
        <f t="shared" si="6"/>
        <v>65</v>
      </c>
      <c r="V89">
        <f t="shared" si="7"/>
        <v>45</v>
      </c>
      <c r="W89">
        <f t="shared" si="8"/>
        <v>20</v>
      </c>
      <c r="X89" s="5">
        <f t="shared" si="9"/>
        <v>0.30769230769230771</v>
      </c>
      <c r="Y89">
        <f t="shared" si="10"/>
        <v>2025</v>
      </c>
      <c r="Z89">
        <f t="shared" si="11"/>
        <v>7</v>
      </c>
    </row>
    <row r="90" spans="1:26" x14ac:dyDescent="0.3">
      <c r="A90" s="2">
        <v>1455</v>
      </c>
      <c r="B90" s="3">
        <v>46005</v>
      </c>
      <c r="C90" s="4" t="s">
        <v>56</v>
      </c>
      <c r="D90" s="4" t="s">
        <v>57</v>
      </c>
      <c r="E90" s="4" t="s">
        <v>58</v>
      </c>
      <c r="F90" s="4" t="s">
        <v>23</v>
      </c>
      <c r="G90" t="s">
        <v>24</v>
      </c>
      <c r="H90" s="2">
        <v>1</v>
      </c>
      <c r="I90" s="2">
        <v>75</v>
      </c>
      <c r="J90">
        <v>100</v>
      </c>
      <c r="K90">
        <v>5</v>
      </c>
      <c r="L90">
        <v>12</v>
      </c>
      <c r="M90" t="s">
        <v>35</v>
      </c>
      <c r="N90" t="s">
        <v>26</v>
      </c>
      <c r="O90">
        <v>33</v>
      </c>
      <c r="P90" t="s">
        <v>36</v>
      </c>
      <c r="Q90" t="s">
        <v>53</v>
      </c>
      <c r="R90" t="s">
        <v>86</v>
      </c>
      <c r="S90" t="s">
        <v>523</v>
      </c>
      <c r="T90" s="1">
        <v>46335</v>
      </c>
      <c r="U90">
        <f t="shared" si="6"/>
        <v>100</v>
      </c>
      <c r="V90">
        <f t="shared" si="7"/>
        <v>75</v>
      </c>
      <c r="W90">
        <f t="shared" si="8"/>
        <v>25</v>
      </c>
      <c r="X90" s="5">
        <f t="shared" si="9"/>
        <v>0.25</v>
      </c>
      <c r="Y90">
        <f t="shared" si="10"/>
        <v>2025</v>
      </c>
      <c r="Z90">
        <f t="shared" si="11"/>
        <v>12</v>
      </c>
    </row>
    <row r="91" spans="1:26" x14ac:dyDescent="0.3">
      <c r="A91" s="2">
        <v>1462</v>
      </c>
      <c r="B91" s="3">
        <v>45955</v>
      </c>
      <c r="C91" s="4" t="s">
        <v>75</v>
      </c>
      <c r="D91" s="4" t="s">
        <v>41</v>
      </c>
      <c r="E91" s="4" t="s">
        <v>76</v>
      </c>
      <c r="F91" s="4" t="s">
        <v>23</v>
      </c>
      <c r="G91" t="s">
        <v>42</v>
      </c>
      <c r="H91" s="2">
        <v>1</v>
      </c>
      <c r="I91" s="2">
        <v>25</v>
      </c>
      <c r="J91">
        <v>35</v>
      </c>
      <c r="K91">
        <v>10</v>
      </c>
      <c r="L91">
        <v>12</v>
      </c>
      <c r="M91" t="s">
        <v>35</v>
      </c>
      <c r="N91" t="s">
        <v>26</v>
      </c>
      <c r="O91">
        <v>36</v>
      </c>
      <c r="P91" t="s">
        <v>36</v>
      </c>
      <c r="Q91" t="s">
        <v>53</v>
      </c>
      <c r="R91" t="s">
        <v>86</v>
      </c>
      <c r="S91" t="s">
        <v>530</v>
      </c>
      <c r="T91" s="1">
        <v>46215</v>
      </c>
      <c r="U91">
        <f t="shared" si="6"/>
        <v>35</v>
      </c>
      <c r="V91">
        <f t="shared" si="7"/>
        <v>25</v>
      </c>
      <c r="W91">
        <f t="shared" si="8"/>
        <v>10</v>
      </c>
      <c r="X91" s="5">
        <f t="shared" si="9"/>
        <v>0.2857142857142857</v>
      </c>
      <c r="Y91">
        <f t="shared" si="10"/>
        <v>2025</v>
      </c>
      <c r="Z91">
        <f t="shared" si="11"/>
        <v>10</v>
      </c>
    </row>
    <row r="92" spans="1:26" x14ac:dyDescent="0.3">
      <c r="A92" s="2">
        <v>1465</v>
      </c>
      <c r="B92" s="3">
        <v>45688</v>
      </c>
      <c r="C92" s="4" t="s">
        <v>47</v>
      </c>
      <c r="D92" s="4" t="s">
        <v>48</v>
      </c>
      <c r="E92" s="4" t="s">
        <v>49</v>
      </c>
      <c r="F92" s="4" t="s">
        <v>50</v>
      </c>
      <c r="G92" t="s">
        <v>51</v>
      </c>
      <c r="H92" s="2">
        <v>1</v>
      </c>
      <c r="I92" s="2">
        <v>35</v>
      </c>
      <c r="J92">
        <v>50</v>
      </c>
      <c r="K92">
        <v>10</v>
      </c>
      <c r="L92">
        <v>12</v>
      </c>
      <c r="M92" t="s">
        <v>35</v>
      </c>
      <c r="N92" t="s">
        <v>26</v>
      </c>
      <c r="O92">
        <v>72</v>
      </c>
      <c r="P92" t="s">
        <v>27</v>
      </c>
      <c r="Q92" t="s">
        <v>37</v>
      </c>
      <c r="R92" t="s">
        <v>22</v>
      </c>
      <c r="S92" t="s">
        <v>533</v>
      </c>
      <c r="T92" s="1">
        <v>46099</v>
      </c>
      <c r="U92">
        <f t="shared" si="6"/>
        <v>50</v>
      </c>
      <c r="V92">
        <f t="shared" si="7"/>
        <v>35</v>
      </c>
      <c r="W92">
        <f t="shared" si="8"/>
        <v>15</v>
      </c>
      <c r="X92" s="5">
        <f t="shared" si="9"/>
        <v>0.3</v>
      </c>
      <c r="Y92">
        <f t="shared" si="10"/>
        <v>2025</v>
      </c>
      <c r="Z92">
        <f t="shared" si="11"/>
        <v>1</v>
      </c>
    </row>
    <row r="93" spans="1:26" x14ac:dyDescent="0.3">
      <c r="A93" s="2">
        <v>1468</v>
      </c>
      <c r="B93" s="3">
        <v>45995</v>
      </c>
      <c r="C93" s="4" t="s">
        <v>75</v>
      </c>
      <c r="D93" s="4" t="s">
        <v>41</v>
      </c>
      <c r="E93" s="4" t="s">
        <v>76</v>
      </c>
      <c r="F93" s="4" t="s">
        <v>23</v>
      </c>
      <c r="G93" t="s">
        <v>42</v>
      </c>
      <c r="H93" s="2">
        <v>1</v>
      </c>
      <c r="I93" s="2">
        <v>25</v>
      </c>
      <c r="J93">
        <v>35</v>
      </c>
      <c r="K93">
        <v>0</v>
      </c>
      <c r="L93">
        <v>12</v>
      </c>
      <c r="M93" t="s">
        <v>43</v>
      </c>
      <c r="N93" t="s">
        <v>26</v>
      </c>
      <c r="O93">
        <v>64</v>
      </c>
      <c r="P93" t="s">
        <v>52</v>
      </c>
      <c r="Q93" t="s">
        <v>37</v>
      </c>
      <c r="R93" t="s">
        <v>22</v>
      </c>
      <c r="S93" t="s">
        <v>536</v>
      </c>
      <c r="T93" s="1">
        <v>46678</v>
      </c>
      <c r="U93">
        <f t="shared" si="6"/>
        <v>35</v>
      </c>
      <c r="V93">
        <f t="shared" si="7"/>
        <v>25</v>
      </c>
      <c r="W93">
        <f t="shared" si="8"/>
        <v>10</v>
      </c>
      <c r="X93" s="5">
        <f t="shared" si="9"/>
        <v>0.2857142857142857</v>
      </c>
      <c r="Y93">
        <f t="shared" si="10"/>
        <v>2025</v>
      </c>
      <c r="Z93">
        <f t="shared" si="11"/>
        <v>12</v>
      </c>
    </row>
    <row r="94" spans="1:26" x14ac:dyDescent="0.3">
      <c r="A94" s="2">
        <v>1476</v>
      </c>
      <c r="B94" s="3">
        <v>45890</v>
      </c>
      <c r="C94" s="4" t="s">
        <v>105</v>
      </c>
      <c r="D94" s="4" t="s">
        <v>106</v>
      </c>
      <c r="E94" s="4" t="s">
        <v>22</v>
      </c>
      <c r="F94" s="4" t="s">
        <v>23</v>
      </c>
      <c r="G94" t="s">
        <v>51</v>
      </c>
      <c r="H94" s="2">
        <v>1</v>
      </c>
      <c r="I94" s="2">
        <v>95</v>
      </c>
      <c r="J94">
        <v>125</v>
      </c>
      <c r="K94">
        <v>5</v>
      </c>
      <c r="L94">
        <v>12</v>
      </c>
      <c r="M94" t="s">
        <v>35</v>
      </c>
      <c r="N94" t="s">
        <v>44</v>
      </c>
      <c r="O94">
        <v>34</v>
      </c>
      <c r="P94" t="s">
        <v>36</v>
      </c>
      <c r="Q94" t="s">
        <v>66</v>
      </c>
      <c r="R94" t="s">
        <v>22</v>
      </c>
      <c r="S94" t="s">
        <v>544</v>
      </c>
      <c r="T94" s="1">
        <v>46299</v>
      </c>
      <c r="U94">
        <f t="shared" si="6"/>
        <v>125</v>
      </c>
      <c r="V94">
        <f t="shared" si="7"/>
        <v>95</v>
      </c>
      <c r="W94">
        <f t="shared" si="8"/>
        <v>30</v>
      </c>
      <c r="X94" s="5">
        <f t="shared" si="9"/>
        <v>0.24</v>
      </c>
      <c r="Y94">
        <f t="shared" si="10"/>
        <v>2025</v>
      </c>
      <c r="Z94">
        <f t="shared" si="11"/>
        <v>8</v>
      </c>
    </row>
    <row r="95" spans="1:26" x14ac:dyDescent="0.3">
      <c r="A95" s="2">
        <v>1477</v>
      </c>
      <c r="B95" s="3">
        <v>45923</v>
      </c>
      <c r="C95" s="4" t="s">
        <v>31</v>
      </c>
      <c r="D95" s="4" t="s">
        <v>32</v>
      </c>
      <c r="E95" s="4" t="s">
        <v>33</v>
      </c>
      <c r="F95" s="4" t="s">
        <v>23</v>
      </c>
      <c r="G95" t="s">
        <v>34</v>
      </c>
      <c r="H95" s="2">
        <v>1</v>
      </c>
      <c r="I95" s="2">
        <v>140</v>
      </c>
      <c r="J95">
        <v>180</v>
      </c>
      <c r="K95">
        <v>0</v>
      </c>
      <c r="L95">
        <v>12</v>
      </c>
      <c r="M95" t="s">
        <v>25</v>
      </c>
      <c r="N95" t="s">
        <v>26</v>
      </c>
      <c r="O95">
        <v>51</v>
      </c>
      <c r="P95" t="s">
        <v>52</v>
      </c>
      <c r="Q95" t="s">
        <v>28</v>
      </c>
      <c r="R95" t="s">
        <v>54</v>
      </c>
      <c r="S95" t="s">
        <v>545</v>
      </c>
      <c r="T95" s="1">
        <v>46373</v>
      </c>
      <c r="U95">
        <f t="shared" si="6"/>
        <v>180</v>
      </c>
      <c r="V95">
        <f t="shared" si="7"/>
        <v>140</v>
      </c>
      <c r="W95">
        <f t="shared" si="8"/>
        <v>40</v>
      </c>
      <c r="X95" s="5">
        <f t="shared" si="9"/>
        <v>0.22222222222222221</v>
      </c>
      <c r="Y95">
        <f t="shared" si="10"/>
        <v>2025</v>
      </c>
      <c r="Z95">
        <f t="shared" si="11"/>
        <v>9</v>
      </c>
    </row>
    <row r="96" spans="1:26" x14ac:dyDescent="0.3">
      <c r="A96" s="2">
        <v>1480</v>
      </c>
      <c r="B96" s="3">
        <v>45857</v>
      </c>
      <c r="C96" s="4" t="s">
        <v>84</v>
      </c>
      <c r="D96" s="4" t="s">
        <v>85</v>
      </c>
      <c r="E96" s="4" t="s">
        <v>63</v>
      </c>
      <c r="F96" s="4" t="s">
        <v>23</v>
      </c>
      <c r="G96" t="s">
        <v>82</v>
      </c>
      <c r="H96" s="2">
        <v>1</v>
      </c>
      <c r="I96" s="2">
        <v>45</v>
      </c>
      <c r="J96">
        <v>65</v>
      </c>
      <c r="K96">
        <v>0</v>
      </c>
      <c r="L96">
        <v>12</v>
      </c>
      <c r="M96" t="s">
        <v>43</v>
      </c>
      <c r="N96" t="s">
        <v>26</v>
      </c>
      <c r="O96">
        <v>70</v>
      </c>
      <c r="P96" t="s">
        <v>45</v>
      </c>
      <c r="Q96" t="s">
        <v>66</v>
      </c>
      <c r="R96" t="s">
        <v>22</v>
      </c>
      <c r="S96" t="s">
        <v>547</v>
      </c>
      <c r="T96" s="1">
        <v>46418</v>
      </c>
      <c r="U96">
        <f t="shared" si="6"/>
        <v>65</v>
      </c>
      <c r="V96">
        <f t="shared" si="7"/>
        <v>45</v>
      </c>
      <c r="W96">
        <f t="shared" si="8"/>
        <v>20</v>
      </c>
      <c r="X96" s="5">
        <f t="shared" si="9"/>
        <v>0.30769230769230771</v>
      </c>
      <c r="Y96">
        <f t="shared" si="10"/>
        <v>2025</v>
      </c>
      <c r="Z96">
        <f t="shared" si="11"/>
        <v>7</v>
      </c>
    </row>
    <row r="97" spans="1:26" x14ac:dyDescent="0.3">
      <c r="A97" s="2">
        <v>1490</v>
      </c>
      <c r="B97" s="3">
        <v>45920</v>
      </c>
      <c r="C97" s="4" t="s">
        <v>75</v>
      </c>
      <c r="D97" s="4" t="s">
        <v>41</v>
      </c>
      <c r="E97" s="4" t="s">
        <v>76</v>
      </c>
      <c r="F97" s="4" t="s">
        <v>23</v>
      </c>
      <c r="G97" t="s">
        <v>42</v>
      </c>
      <c r="H97" s="2">
        <v>1</v>
      </c>
      <c r="I97" s="2">
        <v>25</v>
      </c>
      <c r="J97">
        <v>35</v>
      </c>
      <c r="K97">
        <v>5</v>
      </c>
      <c r="L97">
        <v>12</v>
      </c>
      <c r="M97" t="s">
        <v>35</v>
      </c>
      <c r="N97" t="s">
        <v>44</v>
      </c>
      <c r="O97">
        <v>39</v>
      </c>
      <c r="P97" t="s">
        <v>45</v>
      </c>
      <c r="Q97" t="s">
        <v>37</v>
      </c>
      <c r="R97" t="s">
        <v>22</v>
      </c>
      <c r="S97" t="s">
        <v>555</v>
      </c>
      <c r="T97" s="1">
        <v>46103</v>
      </c>
      <c r="U97">
        <f t="shared" si="6"/>
        <v>35</v>
      </c>
      <c r="V97">
        <f t="shared" si="7"/>
        <v>25</v>
      </c>
      <c r="W97">
        <f t="shared" si="8"/>
        <v>10</v>
      </c>
      <c r="X97" s="5">
        <f t="shared" si="9"/>
        <v>0.2857142857142857</v>
      </c>
      <c r="Y97">
        <f t="shared" si="10"/>
        <v>2025</v>
      </c>
      <c r="Z97">
        <f t="shared" si="11"/>
        <v>9</v>
      </c>
    </row>
    <row r="98" spans="1:26" x14ac:dyDescent="0.3">
      <c r="A98" s="2">
        <v>1494</v>
      </c>
      <c r="B98" s="3">
        <v>45661</v>
      </c>
      <c r="C98" s="4" t="s">
        <v>20</v>
      </c>
      <c r="D98" s="4" t="s">
        <v>21</v>
      </c>
      <c r="E98" s="4" t="s">
        <v>22</v>
      </c>
      <c r="F98" s="4" t="s">
        <v>23</v>
      </c>
      <c r="G98" t="s">
        <v>24</v>
      </c>
      <c r="H98" s="2">
        <v>1</v>
      </c>
      <c r="I98" s="2">
        <v>60</v>
      </c>
      <c r="J98">
        <v>85</v>
      </c>
      <c r="K98">
        <v>10</v>
      </c>
      <c r="L98">
        <v>12</v>
      </c>
      <c r="M98" t="s">
        <v>35</v>
      </c>
      <c r="N98" t="s">
        <v>26</v>
      </c>
      <c r="O98">
        <v>24</v>
      </c>
      <c r="P98" t="s">
        <v>36</v>
      </c>
      <c r="Q98" t="s">
        <v>53</v>
      </c>
      <c r="R98" t="s">
        <v>54</v>
      </c>
      <c r="S98" t="s">
        <v>559</v>
      </c>
      <c r="T98" s="1">
        <v>46351</v>
      </c>
      <c r="U98">
        <f t="shared" si="6"/>
        <v>85</v>
      </c>
      <c r="V98">
        <f t="shared" si="7"/>
        <v>60</v>
      </c>
      <c r="W98">
        <f t="shared" si="8"/>
        <v>25</v>
      </c>
      <c r="X98" s="5">
        <f t="shared" si="9"/>
        <v>0.29411764705882354</v>
      </c>
      <c r="Y98">
        <f t="shared" si="10"/>
        <v>2025</v>
      </c>
      <c r="Z98">
        <f t="shared" si="11"/>
        <v>1</v>
      </c>
    </row>
    <row r="99" spans="1:26" x14ac:dyDescent="0.3">
      <c r="A99" s="2">
        <v>1501</v>
      </c>
      <c r="B99" s="3">
        <v>45706</v>
      </c>
      <c r="C99" s="4" t="s">
        <v>61</v>
      </c>
      <c r="D99" s="4" t="s">
        <v>62</v>
      </c>
      <c r="E99" s="4" t="s">
        <v>63</v>
      </c>
      <c r="F99" s="4" t="s">
        <v>23</v>
      </c>
      <c r="G99" t="s">
        <v>64</v>
      </c>
      <c r="H99" s="2">
        <v>1</v>
      </c>
      <c r="I99" s="2">
        <v>12</v>
      </c>
      <c r="J99">
        <v>20</v>
      </c>
      <c r="K99">
        <v>10</v>
      </c>
      <c r="L99">
        <v>12</v>
      </c>
      <c r="M99" t="s">
        <v>43</v>
      </c>
      <c r="N99" t="s">
        <v>26</v>
      </c>
      <c r="O99">
        <v>51</v>
      </c>
      <c r="P99" t="s">
        <v>45</v>
      </c>
      <c r="Q99" t="s">
        <v>66</v>
      </c>
      <c r="R99" t="s">
        <v>22</v>
      </c>
      <c r="S99" t="s">
        <v>566</v>
      </c>
      <c r="T99" s="1">
        <v>46526</v>
      </c>
      <c r="U99">
        <f t="shared" si="6"/>
        <v>20</v>
      </c>
      <c r="V99">
        <f t="shared" si="7"/>
        <v>12</v>
      </c>
      <c r="W99">
        <f t="shared" si="8"/>
        <v>8</v>
      </c>
      <c r="X99" s="5">
        <f t="shared" si="9"/>
        <v>0.4</v>
      </c>
      <c r="Y99">
        <f t="shared" si="10"/>
        <v>2025</v>
      </c>
      <c r="Z99">
        <f t="shared" si="11"/>
        <v>2</v>
      </c>
    </row>
    <row r="100" spans="1:26" x14ac:dyDescent="0.3">
      <c r="A100" s="2">
        <v>1002</v>
      </c>
      <c r="B100" s="3">
        <v>45768</v>
      </c>
      <c r="C100" s="4" t="s">
        <v>20</v>
      </c>
      <c r="D100" s="4" t="s">
        <v>21</v>
      </c>
      <c r="E100" s="4" t="s">
        <v>22</v>
      </c>
      <c r="F100" s="4" t="s">
        <v>23</v>
      </c>
      <c r="G100" t="s">
        <v>24</v>
      </c>
      <c r="H100" s="2">
        <v>2</v>
      </c>
      <c r="I100" s="2">
        <v>60</v>
      </c>
      <c r="J100">
        <v>85</v>
      </c>
      <c r="K100">
        <v>5</v>
      </c>
      <c r="L100">
        <v>12</v>
      </c>
      <c r="M100" t="s">
        <v>25</v>
      </c>
      <c r="N100" t="s">
        <v>26</v>
      </c>
      <c r="O100">
        <v>70</v>
      </c>
      <c r="P100" t="s">
        <v>27</v>
      </c>
      <c r="Q100" t="s">
        <v>28</v>
      </c>
      <c r="R100" t="s">
        <v>29</v>
      </c>
      <c r="S100" t="s">
        <v>30</v>
      </c>
      <c r="T100" s="1">
        <v>46368</v>
      </c>
      <c r="U100">
        <f t="shared" si="6"/>
        <v>170</v>
      </c>
      <c r="V100">
        <f t="shared" si="7"/>
        <v>120</v>
      </c>
      <c r="W100">
        <f t="shared" si="8"/>
        <v>50</v>
      </c>
      <c r="X100" s="5">
        <f t="shared" si="9"/>
        <v>0.29411764705882354</v>
      </c>
      <c r="Y100">
        <f t="shared" si="10"/>
        <v>2025</v>
      </c>
      <c r="Z100">
        <f t="shared" si="11"/>
        <v>4</v>
      </c>
    </row>
    <row r="101" spans="1:26" x14ac:dyDescent="0.3">
      <c r="A101" s="2">
        <v>1005</v>
      </c>
      <c r="B101" s="3">
        <v>45696</v>
      </c>
      <c r="C101" s="4" t="s">
        <v>47</v>
      </c>
      <c r="D101" s="4" t="s">
        <v>48</v>
      </c>
      <c r="E101" s="4" t="s">
        <v>49</v>
      </c>
      <c r="F101" s="4" t="s">
        <v>50</v>
      </c>
      <c r="G101" t="s">
        <v>51</v>
      </c>
      <c r="H101" s="2">
        <v>2</v>
      </c>
      <c r="I101" s="2">
        <v>35</v>
      </c>
      <c r="J101">
        <v>50</v>
      </c>
      <c r="K101">
        <v>10</v>
      </c>
      <c r="L101">
        <v>12</v>
      </c>
      <c r="M101" t="s">
        <v>35</v>
      </c>
      <c r="N101" t="s">
        <v>44</v>
      </c>
      <c r="O101">
        <v>72</v>
      </c>
      <c r="P101" t="s">
        <v>52</v>
      </c>
      <c r="Q101" t="s">
        <v>53</v>
      </c>
      <c r="R101" t="s">
        <v>54</v>
      </c>
      <c r="S101" t="s">
        <v>55</v>
      </c>
      <c r="T101" s="1">
        <v>46303</v>
      </c>
      <c r="U101">
        <f t="shared" si="6"/>
        <v>100</v>
      </c>
      <c r="V101">
        <f t="shared" si="7"/>
        <v>70</v>
      </c>
      <c r="W101">
        <f t="shared" si="8"/>
        <v>30</v>
      </c>
      <c r="X101" s="5">
        <f t="shared" si="9"/>
        <v>0.3</v>
      </c>
      <c r="Y101">
        <f t="shared" si="10"/>
        <v>2025</v>
      </c>
      <c r="Z101">
        <f t="shared" si="11"/>
        <v>2</v>
      </c>
    </row>
    <row r="102" spans="1:26" x14ac:dyDescent="0.3">
      <c r="A102" s="2">
        <v>1007</v>
      </c>
      <c r="B102" s="3">
        <v>45736</v>
      </c>
      <c r="C102" s="4" t="s">
        <v>61</v>
      </c>
      <c r="D102" s="4" t="s">
        <v>62</v>
      </c>
      <c r="E102" s="4" t="s">
        <v>63</v>
      </c>
      <c r="F102" s="4" t="s">
        <v>23</v>
      </c>
      <c r="G102" t="s">
        <v>64</v>
      </c>
      <c r="H102" s="2">
        <v>2</v>
      </c>
      <c r="I102" s="2">
        <v>12</v>
      </c>
      <c r="J102">
        <v>20</v>
      </c>
      <c r="K102">
        <v>10</v>
      </c>
      <c r="L102">
        <v>12</v>
      </c>
      <c r="M102" t="s">
        <v>43</v>
      </c>
      <c r="N102" t="s">
        <v>26</v>
      </c>
      <c r="O102">
        <v>64</v>
      </c>
      <c r="P102" t="s">
        <v>36</v>
      </c>
      <c r="Q102" t="s">
        <v>53</v>
      </c>
      <c r="R102" t="s">
        <v>38</v>
      </c>
      <c r="S102" t="s">
        <v>65</v>
      </c>
      <c r="T102" s="1">
        <v>46040</v>
      </c>
      <c r="U102">
        <f t="shared" si="6"/>
        <v>40</v>
      </c>
      <c r="V102">
        <f t="shared" si="7"/>
        <v>24</v>
      </c>
      <c r="W102">
        <f t="shared" si="8"/>
        <v>16</v>
      </c>
      <c r="X102" s="5">
        <f t="shared" si="9"/>
        <v>0.4</v>
      </c>
      <c r="Y102">
        <f t="shared" si="10"/>
        <v>2025</v>
      </c>
      <c r="Z102">
        <f t="shared" si="11"/>
        <v>3</v>
      </c>
    </row>
    <row r="103" spans="1:26" x14ac:dyDescent="0.3">
      <c r="A103" s="2">
        <v>1011</v>
      </c>
      <c r="B103" s="3">
        <v>45732</v>
      </c>
      <c r="C103" s="4" t="s">
        <v>20</v>
      </c>
      <c r="D103" s="4" t="s">
        <v>21</v>
      </c>
      <c r="E103" s="4" t="s">
        <v>22</v>
      </c>
      <c r="F103" s="4" t="s">
        <v>23</v>
      </c>
      <c r="G103" t="s">
        <v>24</v>
      </c>
      <c r="H103" s="2">
        <v>2</v>
      </c>
      <c r="I103" s="2">
        <v>60</v>
      </c>
      <c r="J103">
        <v>85</v>
      </c>
      <c r="K103">
        <v>0</v>
      </c>
      <c r="L103">
        <v>12</v>
      </c>
      <c r="M103" t="s">
        <v>35</v>
      </c>
      <c r="N103" t="s">
        <v>44</v>
      </c>
      <c r="O103">
        <v>45</v>
      </c>
      <c r="P103" t="s">
        <v>27</v>
      </c>
      <c r="Q103" t="s">
        <v>37</v>
      </c>
      <c r="R103" t="s">
        <v>54</v>
      </c>
      <c r="S103" t="s">
        <v>73</v>
      </c>
      <c r="T103" s="1">
        <v>46176</v>
      </c>
      <c r="U103">
        <f t="shared" si="6"/>
        <v>170</v>
      </c>
      <c r="V103">
        <f t="shared" si="7"/>
        <v>120</v>
      </c>
      <c r="W103">
        <f t="shared" si="8"/>
        <v>50</v>
      </c>
      <c r="X103" s="5">
        <f t="shared" si="9"/>
        <v>0.29411764705882354</v>
      </c>
      <c r="Y103">
        <f t="shared" si="10"/>
        <v>2025</v>
      </c>
      <c r="Z103">
        <f t="shared" si="11"/>
        <v>3</v>
      </c>
    </row>
    <row r="104" spans="1:26" x14ac:dyDescent="0.3">
      <c r="A104" s="2">
        <v>1012</v>
      </c>
      <c r="B104" s="3">
        <v>46013</v>
      </c>
      <c r="C104" s="4" t="s">
        <v>20</v>
      </c>
      <c r="D104" s="4" t="s">
        <v>21</v>
      </c>
      <c r="E104" s="4" t="s">
        <v>22</v>
      </c>
      <c r="F104" s="4" t="s">
        <v>23</v>
      </c>
      <c r="G104" t="s">
        <v>24</v>
      </c>
      <c r="H104" s="2">
        <v>2</v>
      </c>
      <c r="I104" s="2">
        <v>60</v>
      </c>
      <c r="J104">
        <v>85</v>
      </c>
      <c r="K104">
        <v>10</v>
      </c>
      <c r="L104">
        <v>12</v>
      </c>
      <c r="M104" t="s">
        <v>25</v>
      </c>
      <c r="N104" t="s">
        <v>44</v>
      </c>
      <c r="O104">
        <v>37</v>
      </c>
      <c r="P104" t="s">
        <v>45</v>
      </c>
      <c r="Q104" t="s">
        <v>37</v>
      </c>
      <c r="R104" t="s">
        <v>54</v>
      </c>
      <c r="S104" t="s">
        <v>74</v>
      </c>
      <c r="T104" s="1">
        <v>46487</v>
      </c>
      <c r="U104">
        <f t="shared" si="6"/>
        <v>170</v>
      </c>
      <c r="V104">
        <f t="shared" si="7"/>
        <v>120</v>
      </c>
      <c r="W104">
        <f t="shared" si="8"/>
        <v>50</v>
      </c>
      <c r="X104" s="5">
        <f t="shared" si="9"/>
        <v>0.29411764705882354</v>
      </c>
      <c r="Y104">
        <f t="shared" si="10"/>
        <v>2025</v>
      </c>
      <c r="Z104">
        <f t="shared" si="11"/>
        <v>12</v>
      </c>
    </row>
    <row r="105" spans="1:26" x14ac:dyDescent="0.3">
      <c r="A105" s="2">
        <v>1014</v>
      </c>
      <c r="B105" s="3">
        <v>45694</v>
      </c>
      <c r="C105" s="4" t="s">
        <v>40</v>
      </c>
      <c r="D105" s="4" t="s">
        <v>41</v>
      </c>
      <c r="E105" s="4" t="s">
        <v>33</v>
      </c>
      <c r="F105" s="4" t="s">
        <v>23</v>
      </c>
      <c r="G105" t="s">
        <v>42</v>
      </c>
      <c r="H105" s="2">
        <v>2</v>
      </c>
      <c r="I105" s="2">
        <v>24</v>
      </c>
      <c r="J105">
        <v>34</v>
      </c>
      <c r="K105">
        <v>5</v>
      </c>
      <c r="L105">
        <v>12</v>
      </c>
      <c r="M105" t="s">
        <v>35</v>
      </c>
      <c r="N105" t="s">
        <v>44</v>
      </c>
      <c r="O105">
        <v>71</v>
      </c>
      <c r="P105" t="s">
        <v>45</v>
      </c>
      <c r="Q105" t="s">
        <v>37</v>
      </c>
      <c r="R105" t="s">
        <v>29</v>
      </c>
      <c r="S105" t="s">
        <v>78</v>
      </c>
      <c r="T105" s="1">
        <v>46255</v>
      </c>
      <c r="U105">
        <f t="shared" si="6"/>
        <v>68</v>
      </c>
      <c r="V105">
        <f t="shared" si="7"/>
        <v>48</v>
      </c>
      <c r="W105">
        <f t="shared" si="8"/>
        <v>20</v>
      </c>
      <c r="X105" s="5">
        <f t="shared" si="9"/>
        <v>0.29411764705882354</v>
      </c>
      <c r="Y105">
        <f t="shared" si="10"/>
        <v>2025</v>
      </c>
      <c r="Z105">
        <f t="shared" si="11"/>
        <v>2</v>
      </c>
    </row>
    <row r="106" spans="1:26" x14ac:dyDescent="0.3">
      <c r="A106" s="2">
        <v>1016</v>
      </c>
      <c r="B106" s="3">
        <v>45783</v>
      </c>
      <c r="C106" s="4" t="s">
        <v>84</v>
      </c>
      <c r="D106" s="4" t="s">
        <v>85</v>
      </c>
      <c r="E106" s="4" t="s">
        <v>63</v>
      </c>
      <c r="F106" s="4" t="s">
        <v>23</v>
      </c>
      <c r="G106" t="s">
        <v>82</v>
      </c>
      <c r="H106" s="2">
        <v>2</v>
      </c>
      <c r="I106" s="2">
        <v>45</v>
      </c>
      <c r="J106">
        <v>65</v>
      </c>
      <c r="K106">
        <v>10</v>
      </c>
      <c r="L106">
        <v>12</v>
      </c>
      <c r="M106" t="s">
        <v>35</v>
      </c>
      <c r="N106" t="s">
        <v>26</v>
      </c>
      <c r="O106">
        <v>22</v>
      </c>
      <c r="P106" t="s">
        <v>27</v>
      </c>
      <c r="Q106" t="s">
        <v>53</v>
      </c>
      <c r="R106" t="s">
        <v>86</v>
      </c>
      <c r="S106" t="s">
        <v>87</v>
      </c>
      <c r="T106" s="1">
        <v>46328</v>
      </c>
      <c r="U106">
        <f t="shared" si="6"/>
        <v>130</v>
      </c>
      <c r="V106">
        <f t="shared" si="7"/>
        <v>90</v>
      </c>
      <c r="W106">
        <f t="shared" si="8"/>
        <v>40</v>
      </c>
      <c r="X106" s="5">
        <f t="shared" si="9"/>
        <v>0.30769230769230771</v>
      </c>
      <c r="Y106">
        <f t="shared" si="10"/>
        <v>2025</v>
      </c>
      <c r="Z106">
        <f t="shared" si="11"/>
        <v>5</v>
      </c>
    </row>
    <row r="107" spans="1:26" x14ac:dyDescent="0.3">
      <c r="A107" s="2">
        <v>1023</v>
      </c>
      <c r="B107" s="3">
        <v>45680</v>
      </c>
      <c r="C107" s="4" t="s">
        <v>56</v>
      </c>
      <c r="D107" s="4" t="s">
        <v>57</v>
      </c>
      <c r="E107" s="4" t="s">
        <v>58</v>
      </c>
      <c r="F107" s="4" t="s">
        <v>23</v>
      </c>
      <c r="G107" t="s">
        <v>24</v>
      </c>
      <c r="H107" s="2">
        <v>2</v>
      </c>
      <c r="I107" s="2">
        <v>75</v>
      </c>
      <c r="J107">
        <v>100</v>
      </c>
      <c r="K107">
        <v>10</v>
      </c>
      <c r="L107">
        <v>12</v>
      </c>
      <c r="M107" t="s">
        <v>35</v>
      </c>
      <c r="N107" t="s">
        <v>44</v>
      </c>
      <c r="O107">
        <v>23</v>
      </c>
      <c r="P107" t="s">
        <v>27</v>
      </c>
      <c r="Q107" t="s">
        <v>37</v>
      </c>
      <c r="R107" t="s">
        <v>38</v>
      </c>
      <c r="S107" t="s">
        <v>95</v>
      </c>
      <c r="T107" s="1">
        <v>46066</v>
      </c>
      <c r="U107">
        <f t="shared" si="6"/>
        <v>200</v>
      </c>
      <c r="V107">
        <f t="shared" si="7"/>
        <v>150</v>
      </c>
      <c r="W107">
        <f t="shared" si="8"/>
        <v>50</v>
      </c>
      <c r="X107" s="5">
        <f t="shared" si="9"/>
        <v>0.25</v>
      </c>
      <c r="Y107">
        <f t="shared" si="10"/>
        <v>2025</v>
      </c>
      <c r="Z107">
        <f t="shared" si="11"/>
        <v>1</v>
      </c>
    </row>
    <row r="108" spans="1:26" x14ac:dyDescent="0.3">
      <c r="A108" s="2">
        <v>1030</v>
      </c>
      <c r="B108" s="3">
        <v>45715</v>
      </c>
      <c r="C108" s="4" t="s">
        <v>40</v>
      </c>
      <c r="D108" s="4" t="s">
        <v>41</v>
      </c>
      <c r="E108" s="4" t="s">
        <v>33</v>
      </c>
      <c r="F108" s="4" t="s">
        <v>23</v>
      </c>
      <c r="G108" t="s">
        <v>42</v>
      </c>
      <c r="H108" s="2">
        <v>2</v>
      </c>
      <c r="I108" s="2">
        <v>24</v>
      </c>
      <c r="J108">
        <v>34</v>
      </c>
      <c r="K108">
        <v>0</v>
      </c>
      <c r="L108">
        <v>12</v>
      </c>
      <c r="M108" t="s">
        <v>35</v>
      </c>
      <c r="N108" t="s">
        <v>44</v>
      </c>
      <c r="O108">
        <v>31</v>
      </c>
      <c r="P108" t="s">
        <v>45</v>
      </c>
      <c r="Q108" t="s">
        <v>59</v>
      </c>
      <c r="R108" t="s">
        <v>54</v>
      </c>
      <c r="S108" t="s">
        <v>103</v>
      </c>
      <c r="T108" s="1">
        <v>46084</v>
      </c>
      <c r="U108">
        <f t="shared" si="6"/>
        <v>68</v>
      </c>
      <c r="V108">
        <f t="shared" si="7"/>
        <v>48</v>
      </c>
      <c r="W108">
        <f t="shared" si="8"/>
        <v>20</v>
      </c>
      <c r="X108" s="5">
        <f t="shared" si="9"/>
        <v>0.29411764705882354</v>
      </c>
      <c r="Y108">
        <f t="shared" si="10"/>
        <v>2025</v>
      </c>
      <c r="Z108">
        <f t="shared" si="11"/>
        <v>2</v>
      </c>
    </row>
    <row r="109" spans="1:26" x14ac:dyDescent="0.3">
      <c r="A109" s="2">
        <v>1031</v>
      </c>
      <c r="B109" s="3">
        <v>45817</v>
      </c>
      <c r="C109" s="4" t="s">
        <v>61</v>
      </c>
      <c r="D109" s="4" t="s">
        <v>62</v>
      </c>
      <c r="E109" s="4" t="s">
        <v>63</v>
      </c>
      <c r="F109" s="4" t="s">
        <v>23</v>
      </c>
      <c r="G109" t="s">
        <v>64</v>
      </c>
      <c r="H109" s="2">
        <v>2</v>
      </c>
      <c r="I109" s="2">
        <v>12</v>
      </c>
      <c r="J109">
        <v>20</v>
      </c>
      <c r="K109">
        <v>10</v>
      </c>
      <c r="L109">
        <v>12</v>
      </c>
      <c r="M109" t="s">
        <v>43</v>
      </c>
      <c r="N109" t="s">
        <v>44</v>
      </c>
      <c r="O109">
        <v>36</v>
      </c>
      <c r="P109" t="s">
        <v>52</v>
      </c>
      <c r="Q109" t="s">
        <v>59</v>
      </c>
      <c r="R109" t="s">
        <v>29</v>
      </c>
      <c r="S109" t="s">
        <v>104</v>
      </c>
      <c r="T109" s="1">
        <v>46556</v>
      </c>
      <c r="U109">
        <f t="shared" si="6"/>
        <v>40</v>
      </c>
      <c r="V109">
        <f t="shared" si="7"/>
        <v>24</v>
      </c>
      <c r="W109">
        <f t="shared" si="8"/>
        <v>16</v>
      </c>
      <c r="X109" s="5">
        <f t="shared" si="9"/>
        <v>0.4</v>
      </c>
      <c r="Y109">
        <f t="shared" si="10"/>
        <v>2025</v>
      </c>
      <c r="Z109">
        <f t="shared" si="11"/>
        <v>6</v>
      </c>
    </row>
    <row r="110" spans="1:26" x14ac:dyDescent="0.3">
      <c r="A110" s="2">
        <v>1036</v>
      </c>
      <c r="B110" s="3">
        <v>45750</v>
      </c>
      <c r="C110" s="4" t="s">
        <v>108</v>
      </c>
      <c r="D110" s="4" t="s">
        <v>32</v>
      </c>
      <c r="E110" s="4" t="s">
        <v>109</v>
      </c>
      <c r="F110" s="4" t="s">
        <v>23</v>
      </c>
      <c r="G110" t="s">
        <v>82</v>
      </c>
      <c r="H110" s="2">
        <v>2</v>
      </c>
      <c r="I110" s="2">
        <v>90</v>
      </c>
      <c r="J110">
        <v>120</v>
      </c>
      <c r="K110">
        <v>0</v>
      </c>
      <c r="L110">
        <v>12</v>
      </c>
      <c r="M110" t="s">
        <v>25</v>
      </c>
      <c r="N110" t="s">
        <v>44</v>
      </c>
      <c r="O110">
        <v>75</v>
      </c>
      <c r="P110" t="s">
        <v>36</v>
      </c>
      <c r="Q110" t="s">
        <v>53</v>
      </c>
      <c r="R110" t="s">
        <v>29</v>
      </c>
      <c r="S110" t="s">
        <v>113</v>
      </c>
      <c r="T110" s="1">
        <v>46111</v>
      </c>
      <c r="U110">
        <f t="shared" si="6"/>
        <v>240</v>
      </c>
      <c r="V110">
        <f t="shared" si="7"/>
        <v>180</v>
      </c>
      <c r="W110">
        <f t="shared" si="8"/>
        <v>60</v>
      </c>
      <c r="X110" s="5">
        <f t="shared" si="9"/>
        <v>0.25</v>
      </c>
      <c r="Y110">
        <f t="shared" si="10"/>
        <v>2025</v>
      </c>
      <c r="Z110">
        <f t="shared" si="11"/>
        <v>4</v>
      </c>
    </row>
    <row r="111" spans="1:26" x14ac:dyDescent="0.3">
      <c r="A111" s="2">
        <v>1042</v>
      </c>
      <c r="B111" s="3">
        <v>45723</v>
      </c>
      <c r="C111" s="4" t="s">
        <v>79</v>
      </c>
      <c r="D111" s="4" t="s">
        <v>80</v>
      </c>
      <c r="E111" s="4" t="s">
        <v>81</v>
      </c>
      <c r="F111" s="4" t="s">
        <v>23</v>
      </c>
      <c r="G111" t="s">
        <v>82</v>
      </c>
      <c r="H111" s="2">
        <v>2</v>
      </c>
      <c r="I111" s="2">
        <v>80</v>
      </c>
      <c r="J111">
        <v>110</v>
      </c>
      <c r="K111">
        <v>10</v>
      </c>
      <c r="L111">
        <v>12</v>
      </c>
      <c r="M111" t="s">
        <v>25</v>
      </c>
      <c r="N111" t="s">
        <v>26</v>
      </c>
      <c r="O111">
        <v>72</v>
      </c>
      <c r="P111" t="s">
        <v>36</v>
      </c>
      <c r="Q111" t="s">
        <v>37</v>
      </c>
      <c r="R111" t="s">
        <v>29</v>
      </c>
      <c r="S111" t="s">
        <v>119</v>
      </c>
      <c r="T111" s="1">
        <v>45973</v>
      </c>
      <c r="U111">
        <f t="shared" si="6"/>
        <v>220</v>
      </c>
      <c r="V111">
        <f t="shared" si="7"/>
        <v>160</v>
      </c>
      <c r="W111">
        <f t="shared" si="8"/>
        <v>60</v>
      </c>
      <c r="X111" s="5">
        <f t="shared" si="9"/>
        <v>0.27272727272727271</v>
      </c>
      <c r="Y111">
        <f t="shared" si="10"/>
        <v>2025</v>
      </c>
      <c r="Z111">
        <f t="shared" si="11"/>
        <v>3</v>
      </c>
    </row>
    <row r="112" spans="1:26" x14ac:dyDescent="0.3">
      <c r="A112" s="2">
        <v>1052</v>
      </c>
      <c r="B112" s="3">
        <v>45761</v>
      </c>
      <c r="C112" s="4" t="s">
        <v>40</v>
      </c>
      <c r="D112" s="4" t="s">
        <v>41</v>
      </c>
      <c r="E112" s="4" t="s">
        <v>33</v>
      </c>
      <c r="F112" s="4" t="s">
        <v>23</v>
      </c>
      <c r="G112" t="s">
        <v>42</v>
      </c>
      <c r="H112" s="2">
        <v>2</v>
      </c>
      <c r="I112" s="2">
        <v>24</v>
      </c>
      <c r="J112">
        <v>34</v>
      </c>
      <c r="K112">
        <v>0</v>
      </c>
      <c r="L112">
        <v>12</v>
      </c>
      <c r="M112" t="s">
        <v>35</v>
      </c>
      <c r="N112" t="s">
        <v>26</v>
      </c>
      <c r="O112">
        <v>60</v>
      </c>
      <c r="P112" t="s">
        <v>45</v>
      </c>
      <c r="Q112" t="s">
        <v>28</v>
      </c>
      <c r="R112" t="s">
        <v>29</v>
      </c>
      <c r="S112" t="s">
        <v>129</v>
      </c>
      <c r="T112" s="1">
        <v>46391</v>
      </c>
      <c r="U112">
        <f t="shared" si="6"/>
        <v>68</v>
      </c>
      <c r="V112">
        <f t="shared" si="7"/>
        <v>48</v>
      </c>
      <c r="W112">
        <f t="shared" si="8"/>
        <v>20</v>
      </c>
      <c r="X112" s="5">
        <f t="shared" si="9"/>
        <v>0.29411764705882354</v>
      </c>
      <c r="Y112">
        <f t="shared" si="10"/>
        <v>2025</v>
      </c>
      <c r="Z112">
        <f t="shared" si="11"/>
        <v>4</v>
      </c>
    </row>
    <row r="113" spans="1:26" x14ac:dyDescent="0.3">
      <c r="A113" s="2">
        <v>1055</v>
      </c>
      <c r="B113" s="3">
        <v>45853</v>
      </c>
      <c r="C113" s="4" t="s">
        <v>56</v>
      </c>
      <c r="D113" s="4" t="s">
        <v>57</v>
      </c>
      <c r="E113" s="4" t="s">
        <v>58</v>
      </c>
      <c r="F113" s="4" t="s">
        <v>23</v>
      </c>
      <c r="G113" t="s">
        <v>24</v>
      </c>
      <c r="H113" s="2">
        <v>2</v>
      </c>
      <c r="I113" s="2">
        <v>75</v>
      </c>
      <c r="J113">
        <v>100</v>
      </c>
      <c r="K113">
        <v>5</v>
      </c>
      <c r="L113">
        <v>12</v>
      </c>
      <c r="M113" t="s">
        <v>25</v>
      </c>
      <c r="N113" t="s">
        <v>44</v>
      </c>
      <c r="O113">
        <v>30</v>
      </c>
      <c r="P113" t="s">
        <v>52</v>
      </c>
      <c r="Q113" t="s">
        <v>53</v>
      </c>
      <c r="R113" t="s">
        <v>54</v>
      </c>
      <c r="S113" t="s">
        <v>132</v>
      </c>
      <c r="T113" s="1">
        <v>46748</v>
      </c>
      <c r="U113">
        <f t="shared" si="6"/>
        <v>200</v>
      </c>
      <c r="V113">
        <f t="shared" si="7"/>
        <v>150</v>
      </c>
      <c r="W113">
        <f t="shared" si="8"/>
        <v>50</v>
      </c>
      <c r="X113" s="5">
        <f t="shared" si="9"/>
        <v>0.25</v>
      </c>
      <c r="Y113">
        <f t="shared" si="10"/>
        <v>2025</v>
      </c>
      <c r="Z113">
        <f t="shared" si="11"/>
        <v>7</v>
      </c>
    </row>
    <row r="114" spans="1:26" x14ac:dyDescent="0.3">
      <c r="A114" s="2">
        <v>1059</v>
      </c>
      <c r="B114" s="3">
        <v>45767</v>
      </c>
      <c r="C114" s="4" t="s">
        <v>79</v>
      </c>
      <c r="D114" s="4" t="s">
        <v>80</v>
      </c>
      <c r="E114" s="4" t="s">
        <v>81</v>
      </c>
      <c r="F114" s="4" t="s">
        <v>23</v>
      </c>
      <c r="G114" t="s">
        <v>82</v>
      </c>
      <c r="H114" s="2">
        <v>2</v>
      </c>
      <c r="I114" s="2">
        <v>80</v>
      </c>
      <c r="J114">
        <v>110</v>
      </c>
      <c r="K114">
        <v>0</v>
      </c>
      <c r="L114">
        <v>12</v>
      </c>
      <c r="M114" t="s">
        <v>43</v>
      </c>
      <c r="N114" t="s">
        <v>26</v>
      </c>
      <c r="O114">
        <v>59</v>
      </c>
      <c r="P114" t="s">
        <v>45</v>
      </c>
      <c r="Q114" t="s">
        <v>53</v>
      </c>
      <c r="R114" t="s">
        <v>29</v>
      </c>
      <c r="S114" t="s">
        <v>136</v>
      </c>
      <c r="T114" s="1">
        <v>46561</v>
      </c>
      <c r="U114">
        <f t="shared" si="6"/>
        <v>220</v>
      </c>
      <c r="V114">
        <f t="shared" si="7"/>
        <v>160</v>
      </c>
      <c r="W114">
        <f t="shared" si="8"/>
        <v>60</v>
      </c>
      <c r="X114" s="5">
        <f t="shared" si="9"/>
        <v>0.27272727272727271</v>
      </c>
      <c r="Y114">
        <f t="shared" si="10"/>
        <v>2025</v>
      </c>
      <c r="Z114">
        <f t="shared" si="11"/>
        <v>4</v>
      </c>
    </row>
    <row r="115" spans="1:26" x14ac:dyDescent="0.3">
      <c r="A115" s="2">
        <v>1064</v>
      </c>
      <c r="B115" s="3">
        <v>45804</v>
      </c>
      <c r="C115" s="4" t="s">
        <v>61</v>
      </c>
      <c r="D115" s="4" t="s">
        <v>62</v>
      </c>
      <c r="E115" s="4" t="s">
        <v>63</v>
      </c>
      <c r="F115" s="4" t="s">
        <v>23</v>
      </c>
      <c r="G115" t="s">
        <v>64</v>
      </c>
      <c r="H115" s="2">
        <v>2</v>
      </c>
      <c r="I115" s="2">
        <v>12</v>
      </c>
      <c r="J115">
        <v>20</v>
      </c>
      <c r="K115">
        <v>10</v>
      </c>
      <c r="L115">
        <v>12</v>
      </c>
      <c r="M115" t="s">
        <v>43</v>
      </c>
      <c r="N115" t="s">
        <v>26</v>
      </c>
      <c r="O115">
        <v>51</v>
      </c>
      <c r="P115" t="s">
        <v>45</v>
      </c>
      <c r="Q115" t="s">
        <v>66</v>
      </c>
      <c r="R115" t="s">
        <v>29</v>
      </c>
      <c r="S115" t="s">
        <v>141</v>
      </c>
      <c r="T115" s="1">
        <v>46084</v>
      </c>
      <c r="U115">
        <f t="shared" si="6"/>
        <v>40</v>
      </c>
      <c r="V115">
        <f t="shared" si="7"/>
        <v>24</v>
      </c>
      <c r="W115">
        <f t="shared" si="8"/>
        <v>16</v>
      </c>
      <c r="X115" s="5">
        <f t="shared" si="9"/>
        <v>0.4</v>
      </c>
      <c r="Y115">
        <f t="shared" si="10"/>
        <v>2025</v>
      </c>
      <c r="Z115">
        <f t="shared" si="11"/>
        <v>5</v>
      </c>
    </row>
    <row r="116" spans="1:26" x14ac:dyDescent="0.3">
      <c r="A116" s="2">
        <v>1065</v>
      </c>
      <c r="B116" s="3">
        <v>45984</v>
      </c>
      <c r="C116" s="4" t="s">
        <v>105</v>
      </c>
      <c r="D116" s="4" t="s">
        <v>106</v>
      </c>
      <c r="E116" s="4" t="s">
        <v>22</v>
      </c>
      <c r="F116" s="4" t="s">
        <v>23</v>
      </c>
      <c r="G116" t="s">
        <v>51</v>
      </c>
      <c r="H116" s="2">
        <v>2</v>
      </c>
      <c r="I116" s="2">
        <v>95</v>
      </c>
      <c r="J116">
        <v>125</v>
      </c>
      <c r="K116">
        <v>10</v>
      </c>
      <c r="L116">
        <v>12</v>
      </c>
      <c r="M116" t="s">
        <v>35</v>
      </c>
      <c r="N116" t="s">
        <v>26</v>
      </c>
      <c r="O116">
        <v>52</v>
      </c>
      <c r="P116" t="s">
        <v>27</v>
      </c>
      <c r="Q116" t="s">
        <v>59</v>
      </c>
      <c r="R116" t="s">
        <v>86</v>
      </c>
      <c r="S116" t="s">
        <v>142</v>
      </c>
      <c r="T116" s="1">
        <v>46318</v>
      </c>
      <c r="U116">
        <f t="shared" si="6"/>
        <v>250</v>
      </c>
      <c r="V116">
        <f t="shared" si="7"/>
        <v>190</v>
      </c>
      <c r="W116">
        <f t="shared" si="8"/>
        <v>60</v>
      </c>
      <c r="X116" s="5">
        <f t="shared" si="9"/>
        <v>0.24</v>
      </c>
      <c r="Y116">
        <f t="shared" si="10"/>
        <v>2025</v>
      </c>
      <c r="Z116">
        <f t="shared" si="11"/>
        <v>11</v>
      </c>
    </row>
    <row r="117" spans="1:26" x14ac:dyDescent="0.3">
      <c r="A117" s="2">
        <v>1068</v>
      </c>
      <c r="B117" s="3">
        <v>45750</v>
      </c>
      <c r="C117" s="4" t="s">
        <v>75</v>
      </c>
      <c r="D117" s="4" t="s">
        <v>41</v>
      </c>
      <c r="E117" s="4" t="s">
        <v>76</v>
      </c>
      <c r="F117" s="4" t="s">
        <v>23</v>
      </c>
      <c r="G117" t="s">
        <v>42</v>
      </c>
      <c r="H117" s="2">
        <v>2</v>
      </c>
      <c r="I117" s="2">
        <v>25</v>
      </c>
      <c r="J117">
        <v>35</v>
      </c>
      <c r="K117">
        <v>10</v>
      </c>
      <c r="L117">
        <v>12</v>
      </c>
      <c r="M117" t="s">
        <v>35</v>
      </c>
      <c r="N117" t="s">
        <v>26</v>
      </c>
      <c r="O117">
        <v>30</v>
      </c>
      <c r="P117" t="s">
        <v>36</v>
      </c>
      <c r="Q117" t="s">
        <v>59</v>
      </c>
      <c r="R117" t="s">
        <v>29</v>
      </c>
      <c r="S117" t="s">
        <v>145</v>
      </c>
      <c r="T117" s="1">
        <v>46227</v>
      </c>
      <c r="U117">
        <f t="shared" si="6"/>
        <v>70</v>
      </c>
      <c r="V117">
        <f t="shared" si="7"/>
        <v>50</v>
      </c>
      <c r="W117">
        <f t="shared" si="8"/>
        <v>20</v>
      </c>
      <c r="X117" s="5">
        <f t="shared" si="9"/>
        <v>0.2857142857142857</v>
      </c>
      <c r="Y117">
        <f t="shared" si="10"/>
        <v>2025</v>
      </c>
      <c r="Z117">
        <f t="shared" si="11"/>
        <v>4</v>
      </c>
    </row>
    <row r="118" spans="1:26" x14ac:dyDescent="0.3">
      <c r="A118" s="2">
        <v>1069</v>
      </c>
      <c r="B118" s="3">
        <v>45947</v>
      </c>
      <c r="C118" s="4" t="s">
        <v>105</v>
      </c>
      <c r="D118" s="4" t="s">
        <v>106</v>
      </c>
      <c r="E118" s="4" t="s">
        <v>22</v>
      </c>
      <c r="F118" s="4" t="s">
        <v>23</v>
      </c>
      <c r="G118" t="s">
        <v>51</v>
      </c>
      <c r="H118" s="2">
        <v>2</v>
      </c>
      <c r="I118" s="2">
        <v>95</v>
      </c>
      <c r="J118">
        <v>125</v>
      </c>
      <c r="K118">
        <v>5</v>
      </c>
      <c r="L118">
        <v>12</v>
      </c>
      <c r="M118" t="s">
        <v>25</v>
      </c>
      <c r="N118" t="s">
        <v>44</v>
      </c>
      <c r="O118">
        <v>72</v>
      </c>
      <c r="P118" t="s">
        <v>27</v>
      </c>
      <c r="Q118" t="s">
        <v>37</v>
      </c>
      <c r="R118" t="s">
        <v>22</v>
      </c>
      <c r="S118" t="s">
        <v>146</v>
      </c>
      <c r="T118" s="1">
        <v>46130</v>
      </c>
      <c r="U118">
        <f t="shared" si="6"/>
        <v>250</v>
      </c>
      <c r="V118">
        <f t="shared" si="7"/>
        <v>190</v>
      </c>
      <c r="W118">
        <f t="shared" si="8"/>
        <v>60</v>
      </c>
      <c r="X118" s="5">
        <f t="shared" si="9"/>
        <v>0.24</v>
      </c>
      <c r="Y118">
        <f t="shared" si="10"/>
        <v>2025</v>
      </c>
      <c r="Z118">
        <f t="shared" si="11"/>
        <v>10</v>
      </c>
    </row>
    <row r="119" spans="1:26" x14ac:dyDescent="0.3">
      <c r="A119" s="2">
        <v>1074</v>
      </c>
      <c r="B119" s="3">
        <v>45707</v>
      </c>
      <c r="C119" s="4" t="s">
        <v>31</v>
      </c>
      <c r="D119" s="4" t="s">
        <v>32</v>
      </c>
      <c r="E119" s="4" t="s">
        <v>33</v>
      </c>
      <c r="F119" s="4" t="s">
        <v>23</v>
      </c>
      <c r="G119" t="s">
        <v>34</v>
      </c>
      <c r="H119" s="2">
        <v>2</v>
      </c>
      <c r="I119" s="2">
        <v>140</v>
      </c>
      <c r="J119">
        <v>180</v>
      </c>
      <c r="K119">
        <v>10</v>
      </c>
      <c r="L119">
        <v>12</v>
      </c>
      <c r="M119" t="s">
        <v>35</v>
      </c>
      <c r="N119" t="s">
        <v>26</v>
      </c>
      <c r="O119">
        <v>48</v>
      </c>
      <c r="P119" t="s">
        <v>45</v>
      </c>
      <c r="Q119" t="s">
        <v>37</v>
      </c>
      <c r="R119" t="s">
        <v>22</v>
      </c>
      <c r="S119" t="s">
        <v>151</v>
      </c>
      <c r="T119" s="1">
        <v>46396</v>
      </c>
      <c r="U119">
        <f t="shared" si="6"/>
        <v>360</v>
      </c>
      <c r="V119">
        <f t="shared" si="7"/>
        <v>280</v>
      </c>
      <c r="W119">
        <f t="shared" si="8"/>
        <v>80</v>
      </c>
      <c r="X119" s="5">
        <f t="shared" si="9"/>
        <v>0.22222222222222221</v>
      </c>
      <c r="Y119">
        <f t="shared" si="10"/>
        <v>2025</v>
      </c>
      <c r="Z119">
        <f t="shared" si="11"/>
        <v>2</v>
      </c>
    </row>
    <row r="120" spans="1:26" x14ac:dyDescent="0.3">
      <c r="A120" s="2">
        <v>1079</v>
      </c>
      <c r="B120" s="3">
        <v>45737</v>
      </c>
      <c r="C120" s="4" t="s">
        <v>79</v>
      </c>
      <c r="D120" s="4" t="s">
        <v>80</v>
      </c>
      <c r="E120" s="4" t="s">
        <v>81</v>
      </c>
      <c r="F120" s="4" t="s">
        <v>23</v>
      </c>
      <c r="G120" t="s">
        <v>82</v>
      </c>
      <c r="H120" s="2">
        <v>2</v>
      </c>
      <c r="I120" s="2">
        <v>80</v>
      </c>
      <c r="J120">
        <v>110</v>
      </c>
      <c r="K120">
        <v>5</v>
      </c>
      <c r="L120">
        <v>12</v>
      </c>
      <c r="M120" t="s">
        <v>43</v>
      </c>
      <c r="N120" t="s">
        <v>44</v>
      </c>
      <c r="O120">
        <v>53</v>
      </c>
      <c r="P120" t="s">
        <v>52</v>
      </c>
      <c r="Q120" t="s">
        <v>53</v>
      </c>
      <c r="R120" t="s">
        <v>54</v>
      </c>
      <c r="S120" t="s">
        <v>156</v>
      </c>
      <c r="T120" s="1">
        <v>45985</v>
      </c>
      <c r="U120">
        <f t="shared" si="6"/>
        <v>220</v>
      </c>
      <c r="V120">
        <f t="shared" si="7"/>
        <v>160</v>
      </c>
      <c r="W120">
        <f t="shared" si="8"/>
        <v>60</v>
      </c>
      <c r="X120" s="5">
        <f t="shared" si="9"/>
        <v>0.27272727272727271</v>
      </c>
      <c r="Y120">
        <f t="shared" si="10"/>
        <v>2025</v>
      </c>
      <c r="Z120">
        <f t="shared" si="11"/>
        <v>3</v>
      </c>
    </row>
    <row r="121" spans="1:26" x14ac:dyDescent="0.3">
      <c r="A121" s="2">
        <v>1081</v>
      </c>
      <c r="B121" s="3">
        <v>45894</v>
      </c>
      <c r="C121" s="4" t="s">
        <v>20</v>
      </c>
      <c r="D121" s="4" t="s">
        <v>21</v>
      </c>
      <c r="E121" s="4" t="s">
        <v>22</v>
      </c>
      <c r="F121" s="4" t="s">
        <v>23</v>
      </c>
      <c r="G121" t="s">
        <v>24</v>
      </c>
      <c r="H121" s="2">
        <v>2</v>
      </c>
      <c r="I121" s="2">
        <v>60</v>
      </c>
      <c r="J121">
        <v>85</v>
      </c>
      <c r="K121">
        <v>0</v>
      </c>
      <c r="L121">
        <v>12</v>
      </c>
      <c r="M121" t="s">
        <v>25</v>
      </c>
      <c r="N121" t="s">
        <v>26</v>
      </c>
      <c r="O121">
        <v>26</v>
      </c>
      <c r="P121" t="s">
        <v>45</v>
      </c>
      <c r="Q121" t="s">
        <v>59</v>
      </c>
      <c r="R121" t="s">
        <v>54</v>
      </c>
      <c r="S121" t="s">
        <v>158</v>
      </c>
      <c r="T121" s="1">
        <v>46145</v>
      </c>
      <c r="U121">
        <f t="shared" si="6"/>
        <v>170</v>
      </c>
      <c r="V121">
        <f t="shared" si="7"/>
        <v>120</v>
      </c>
      <c r="W121">
        <f t="shared" si="8"/>
        <v>50</v>
      </c>
      <c r="X121" s="5">
        <f t="shared" si="9"/>
        <v>0.29411764705882354</v>
      </c>
      <c r="Y121">
        <f t="shared" si="10"/>
        <v>2025</v>
      </c>
      <c r="Z121">
        <f t="shared" si="11"/>
        <v>8</v>
      </c>
    </row>
    <row r="122" spans="1:26" x14ac:dyDescent="0.3">
      <c r="A122" s="2">
        <v>1105</v>
      </c>
      <c r="B122" s="3">
        <v>45915</v>
      </c>
      <c r="C122" s="4" t="s">
        <v>108</v>
      </c>
      <c r="D122" s="4" t="s">
        <v>32</v>
      </c>
      <c r="E122" s="4" t="s">
        <v>109</v>
      </c>
      <c r="F122" s="4" t="s">
        <v>23</v>
      </c>
      <c r="G122" t="s">
        <v>82</v>
      </c>
      <c r="H122" s="2">
        <v>2</v>
      </c>
      <c r="I122" s="2">
        <v>90</v>
      </c>
      <c r="J122">
        <v>120</v>
      </c>
      <c r="K122">
        <v>10</v>
      </c>
      <c r="L122">
        <v>12</v>
      </c>
      <c r="M122" t="s">
        <v>35</v>
      </c>
      <c r="N122" t="s">
        <v>44</v>
      </c>
      <c r="O122">
        <v>18</v>
      </c>
      <c r="P122" t="s">
        <v>27</v>
      </c>
      <c r="Q122" t="s">
        <v>66</v>
      </c>
      <c r="R122" t="s">
        <v>29</v>
      </c>
      <c r="S122" t="s">
        <v>182</v>
      </c>
      <c r="T122" s="1">
        <v>46596</v>
      </c>
      <c r="U122">
        <f t="shared" si="6"/>
        <v>240</v>
      </c>
      <c r="V122">
        <f t="shared" si="7"/>
        <v>180</v>
      </c>
      <c r="W122">
        <f t="shared" si="8"/>
        <v>60</v>
      </c>
      <c r="X122" s="5">
        <f t="shared" si="9"/>
        <v>0.25</v>
      </c>
      <c r="Y122">
        <f t="shared" si="10"/>
        <v>2025</v>
      </c>
      <c r="Z122">
        <f t="shared" si="11"/>
        <v>9</v>
      </c>
    </row>
    <row r="123" spans="1:26" x14ac:dyDescent="0.3">
      <c r="A123" s="2">
        <v>1107</v>
      </c>
      <c r="B123" s="3">
        <v>45752</v>
      </c>
      <c r="C123" s="4" t="s">
        <v>134</v>
      </c>
      <c r="D123" s="4" t="s">
        <v>21</v>
      </c>
      <c r="E123" s="4" t="s">
        <v>29</v>
      </c>
      <c r="F123" s="4" t="s">
        <v>50</v>
      </c>
      <c r="G123" t="s">
        <v>24</v>
      </c>
      <c r="H123" s="2">
        <v>2</v>
      </c>
      <c r="I123" s="2">
        <v>70</v>
      </c>
      <c r="J123">
        <v>95</v>
      </c>
      <c r="K123">
        <v>5</v>
      </c>
      <c r="L123">
        <v>12</v>
      </c>
      <c r="M123" t="s">
        <v>25</v>
      </c>
      <c r="N123" t="s">
        <v>26</v>
      </c>
      <c r="O123">
        <v>28</v>
      </c>
      <c r="P123" t="s">
        <v>36</v>
      </c>
      <c r="Q123" t="s">
        <v>28</v>
      </c>
      <c r="R123" t="s">
        <v>38</v>
      </c>
      <c r="S123" t="s">
        <v>184</v>
      </c>
      <c r="T123" s="1">
        <v>46474</v>
      </c>
      <c r="U123">
        <f t="shared" si="6"/>
        <v>190</v>
      </c>
      <c r="V123">
        <f t="shared" si="7"/>
        <v>140</v>
      </c>
      <c r="W123">
        <f t="shared" si="8"/>
        <v>50</v>
      </c>
      <c r="X123" s="5">
        <f t="shared" si="9"/>
        <v>0.26315789473684209</v>
      </c>
      <c r="Y123">
        <f t="shared" si="10"/>
        <v>2025</v>
      </c>
      <c r="Z123">
        <f t="shared" si="11"/>
        <v>4</v>
      </c>
    </row>
    <row r="124" spans="1:26" x14ac:dyDescent="0.3">
      <c r="A124" s="2">
        <v>1112</v>
      </c>
      <c r="B124" s="3">
        <v>45817</v>
      </c>
      <c r="C124" s="4" t="s">
        <v>105</v>
      </c>
      <c r="D124" s="4" t="s">
        <v>106</v>
      </c>
      <c r="E124" s="4" t="s">
        <v>22</v>
      </c>
      <c r="F124" s="4" t="s">
        <v>23</v>
      </c>
      <c r="G124" t="s">
        <v>51</v>
      </c>
      <c r="H124" s="2">
        <v>2</v>
      </c>
      <c r="I124" s="2">
        <v>95</v>
      </c>
      <c r="J124">
        <v>125</v>
      </c>
      <c r="K124">
        <v>5</v>
      </c>
      <c r="L124">
        <v>12</v>
      </c>
      <c r="M124" t="s">
        <v>43</v>
      </c>
      <c r="N124" t="s">
        <v>44</v>
      </c>
      <c r="O124">
        <v>31</v>
      </c>
      <c r="P124" t="s">
        <v>27</v>
      </c>
      <c r="Q124" t="s">
        <v>66</v>
      </c>
      <c r="R124" t="s">
        <v>38</v>
      </c>
      <c r="S124" t="s">
        <v>189</v>
      </c>
      <c r="T124" s="1">
        <v>46213</v>
      </c>
      <c r="U124">
        <f t="shared" si="6"/>
        <v>250</v>
      </c>
      <c r="V124">
        <f t="shared" si="7"/>
        <v>190</v>
      </c>
      <c r="W124">
        <f t="shared" si="8"/>
        <v>60</v>
      </c>
      <c r="X124" s="5">
        <f t="shared" si="9"/>
        <v>0.24</v>
      </c>
      <c r="Y124">
        <f t="shared" si="10"/>
        <v>2025</v>
      </c>
      <c r="Z124">
        <f t="shared" si="11"/>
        <v>6</v>
      </c>
    </row>
    <row r="125" spans="1:26" x14ac:dyDescent="0.3">
      <c r="A125" s="2">
        <v>1114</v>
      </c>
      <c r="B125" s="3">
        <v>46012</v>
      </c>
      <c r="C125" s="4" t="s">
        <v>56</v>
      </c>
      <c r="D125" s="4" t="s">
        <v>57</v>
      </c>
      <c r="E125" s="4" t="s">
        <v>58</v>
      </c>
      <c r="F125" s="4" t="s">
        <v>23</v>
      </c>
      <c r="G125" t="s">
        <v>24</v>
      </c>
      <c r="H125" s="2">
        <v>2</v>
      </c>
      <c r="I125" s="2">
        <v>75</v>
      </c>
      <c r="J125">
        <v>100</v>
      </c>
      <c r="K125">
        <v>0</v>
      </c>
      <c r="L125">
        <v>12</v>
      </c>
      <c r="M125" t="s">
        <v>43</v>
      </c>
      <c r="N125" t="s">
        <v>26</v>
      </c>
      <c r="O125">
        <v>58</v>
      </c>
      <c r="P125" t="s">
        <v>27</v>
      </c>
      <c r="Q125" t="s">
        <v>59</v>
      </c>
      <c r="R125" t="s">
        <v>38</v>
      </c>
      <c r="S125" t="s">
        <v>191</v>
      </c>
      <c r="T125" s="1">
        <v>46321</v>
      </c>
      <c r="U125">
        <f t="shared" si="6"/>
        <v>200</v>
      </c>
      <c r="V125">
        <f t="shared" si="7"/>
        <v>150</v>
      </c>
      <c r="W125">
        <f t="shared" si="8"/>
        <v>50</v>
      </c>
      <c r="X125" s="5">
        <f t="shared" si="9"/>
        <v>0.25</v>
      </c>
      <c r="Y125">
        <f t="shared" si="10"/>
        <v>2025</v>
      </c>
      <c r="Z125">
        <f t="shared" si="11"/>
        <v>12</v>
      </c>
    </row>
    <row r="126" spans="1:26" x14ac:dyDescent="0.3">
      <c r="A126" s="2">
        <v>1121</v>
      </c>
      <c r="B126" s="3">
        <v>45923</v>
      </c>
      <c r="C126" s="4" t="s">
        <v>56</v>
      </c>
      <c r="D126" s="4" t="s">
        <v>57</v>
      </c>
      <c r="E126" s="4" t="s">
        <v>58</v>
      </c>
      <c r="F126" s="4" t="s">
        <v>23</v>
      </c>
      <c r="G126" t="s">
        <v>24</v>
      </c>
      <c r="H126" s="2">
        <v>2</v>
      </c>
      <c r="I126" s="2">
        <v>75</v>
      </c>
      <c r="J126">
        <v>100</v>
      </c>
      <c r="K126">
        <v>5</v>
      </c>
      <c r="L126">
        <v>12</v>
      </c>
      <c r="M126" t="s">
        <v>43</v>
      </c>
      <c r="N126" t="s">
        <v>44</v>
      </c>
      <c r="O126">
        <v>22</v>
      </c>
      <c r="P126" t="s">
        <v>27</v>
      </c>
      <c r="Q126" t="s">
        <v>37</v>
      </c>
      <c r="R126" t="s">
        <v>38</v>
      </c>
      <c r="S126" t="s">
        <v>198</v>
      </c>
      <c r="T126" s="1">
        <v>46781</v>
      </c>
      <c r="U126">
        <f t="shared" si="6"/>
        <v>200</v>
      </c>
      <c r="V126">
        <f t="shared" si="7"/>
        <v>150</v>
      </c>
      <c r="W126">
        <f t="shared" si="8"/>
        <v>50</v>
      </c>
      <c r="X126" s="5">
        <f t="shared" si="9"/>
        <v>0.25</v>
      </c>
      <c r="Y126">
        <f t="shared" si="10"/>
        <v>2025</v>
      </c>
      <c r="Z126">
        <f t="shared" si="11"/>
        <v>9</v>
      </c>
    </row>
    <row r="127" spans="1:26" x14ac:dyDescent="0.3">
      <c r="A127" s="2">
        <v>1126</v>
      </c>
      <c r="B127" s="3">
        <v>45852</v>
      </c>
      <c r="C127" s="4" t="s">
        <v>79</v>
      </c>
      <c r="D127" s="4" t="s">
        <v>80</v>
      </c>
      <c r="E127" s="4" t="s">
        <v>81</v>
      </c>
      <c r="F127" s="4" t="s">
        <v>23</v>
      </c>
      <c r="G127" t="s">
        <v>82</v>
      </c>
      <c r="H127" s="2">
        <v>2</v>
      </c>
      <c r="I127" s="2">
        <v>80</v>
      </c>
      <c r="J127">
        <v>110</v>
      </c>
      <c r="K127">
        <v>10</v>
      </c>
      <c r="L127">
        <v>12</v>
      </c>
      <c r="M127" t="s">
        <v>35</v>
      </c>
      <c r="N127" t="s">
        <v>26</v>
      </c>
      <c r="O127">
        <v>63</v>
      </c>
      <c r="P127" t="s">
        <v>52</v>
      </c>
      <c r="Q127" t="s">
        <v>37</v>
      </c>
      <c r="R127" t="s">
        <v>22</v>
      </c>
      <c r="S127" t="s">
        <v>203</v>
      </c>
      <c r="T127" s="1">
        <v>46578</v>
      </c>
      <c r="U127">
        <f t="shared" si="6"/>
        <v>220</v>
      </c>
      <c r="V127">
        <f t="shared" si="7"/>
        <v>160</v>
      </c>
      <c r="W127">
        <f t="shared" si="8"/>
        <v>60</v>
      </c>
      <c r="X127" s="5">
        <f t="shared" si="9"/>
        <v>0.27272727272727271</v>
      </c>
      <c r="Y127">
        <f t="shared" si="10"/>
        <v>2025</v>
      </c>
      <c r="Z127">
        <f t="shared" si="11"/>
        <v>7</v>
      </c>
    </row>
    <row r="128" spans="1:26" x14ac:dyDescent="0.3">
      <c r="A128" s="2">
        <v>1128</v>
      </c>
      <c r="B128" s="3">
        <v>45775</v>
      </c>
      <c r="C128" s="4" t="s">
        <v>61</v>
      </c>
      <c r="D128" s="4" t="s">
        <v>62</v>
      </c>
      <c r="E128" s="4" t="s">
        <v>63</v>
      </c>
      <c r="F128" s="4" t="s">
        <v>23</v>
      </c>
      <c r="G128" t="s">
        <v>64</v>
      </c>
      <c r="H128" s="2">
        <v>2</v>
      </c>
      <c r="I128" s="2">
        <v>12</v>
      </c>
      <c r="J128">
        <v>20</v>
      </c>
      <c r="K128">
        <v>5</v>
      </c>
      <c r="L128">
        <v>12</v>
      </c>
      <c r="M128" t="s">
        <v>35</v>
      </c>
      <c r="N128" t="s">
        <v>44</v>
      </c>
      <c r="O128">
        <v>50</v>
      </c>
      <c r="P128" t="s">
        <v>27</v>
      </c>
      <c r="Q128" t="s">
        <v>59</v>
      </c>
      <c r="R128" t="s">
        <v>38</v>
      </c>
      <c r="S128" t="s">
        <v>205</v>
      </c>
      <c r="T128" s="1">
        <v>46013</v>
      </c>
      <c r="U128">
        <f t="shared" si="6"/>
        <v>40</v>
      </c>
      <c r="V128">
        <f t="shared" si="7"/>
        <v>24</v>
      </c>
      <c r="W128">
        <f t="shared" si="8"/>
        <v>16</v>
      </c>
      <c r="X128" s="5">
        <f t="shared" si="9"/>
        <v>0.4</v>
      </c>
      <c r="Y128">
        <f t="shared" si="10"/>
        <v>2025</v>
      </c>
      <c r="Z128">
        <f t="shared" si="11"/>
        <v>4</v>
      </c>
    </row>
    <row r="129" spans="1:26" x14ac:dyDescent="0.3">
      <c r="A129" s="2">
        <v>1143</v>
      </c>
      <c r="B129" s="3">
        <v>45725</v>
      </c>
      <c r="C129" s="4" t="s">
        <v>75</v>
      </c>
      <c r="D129" s="4" t="s">
        <v>41</v>
      </c>
      <c r="E129" s="4" t="s">
        <v>76</v>
      </c>
      <c r="F129" s="4" t="s">
        <v>23</v>
      </c>
      <c r="G129" t="s">
        <v>42</v>
      </c>
      <c r="H129" s="2">
        <v>2</v>
      </c>
      <c r="I129" s="2">
        <v>25</v>
      </c>
      <c r="J129">
        <v>35</v>
      </c>
      <c r="K129">
        <v>10</v>
      </c>
      <c r="L129">
        <v>12</v>
      </c>
      <c r="M129" t="s">
        <v>25</v>
      </c>
      <c r="N129" t="s">
        <v>44</v>
      </c>
      <c r="O129">
        <v>38</v>
      </c>
      <c r="P129" t="s">
        <v>52</v>
      </c>
      <c r="Q129" t="s">
        <v>53</v>
      </c>
      <c r="R129" t="s">
        <v>29</v>
      </c>
      <c r="S129" t="s">
        <v>220</v>
      </c>
      <c r="T129" s="1">
        <v>45947</v>
      </c>
      <c r="U129">
        <f t="shared" si="6"/>
        <v>70</v>
      </c>
      <c r="V129">
        <f t="shared" si="7"/>
        <v>50</v>
      </c>
      <c r="W129">
        <f t="shared" si="8"/>
        <v>20</v>
      </c>
      <c r="X129" s="5">
        <f t="shared" si="9"/>
        <v>0.2857142857142857</v>
      </c>
      <c r="Y129">
        <f t="shared" si="10"/>
        <v>2025</v>
      </c>
      <c r="Z129">
        <f t="shared" si="11"/>
        <v>3</v>
      </c>
    </row>
    <row r="130" spans="1:26" x14ac:dyDescent="0.3">
      <c r="A130" s="2">
        <v>1145</v>
      </c>
      <c r="B130" s="3">
        <v>45980</v>
      </c>
      <c r="C130" s="4" t="s">
        <v>31</v>
      </c>
      <c r="D130" s="4" t="s">
        <v>32</v>
      </c>
      <c r="E130" s="4" t="s">
        <v>33</v>
      </c>
      <c r="F130" s="4" t="s">
        <v>23</v>
      </c>
      <c r="G130" t="s">
        <v>34</v>
      </c>
      <c r="H130" s="2">
        <v>2</v>
      </c>
      <c r="I130" s="2">
        <v>140</v>
      </c>
      <c r="J130">
        <v>180</v>
      </c>
      <c r="K130">
        <v>0</v>
      </c>
      <c r="L130">
        <v>12</v>
      </c>
      <c r="M130" t="s">
        <v>35</v>
      </c>
      <c r="N130" t="s">
        <v>44</v>
      </c>
      <c r="O130">
        <v>41</v>
      </c>
      <c r="P130" t="s">
        <v>36</v>
      </c>
      <c r="Q130" t="s">
        <v>59</v>
      </c>
      <c r="R130" t="s">
        <v>22</v>
      </c>
      <c r="S130" t="s">
        <v>221</v>
      </c>
      <c r="T130" s="1">
        <v>46669</v>
      </c>
      <c r="U130">
        <f t="shared" si="6"/>
        <v>360</v>
      </c>
      <c r="V130">
        <f t="shared" si="7"/>
        <v>280</v>
      </c>
      <c r="W130">
        <f t="shared" si="8"/>
        <v>80</v>
      </c>
      <c r="X130" s="5">
        <f t="shared" si="9"/>
        <v>0.22222222222222221</v>
      </c>
      <c r="Y130">
        <f t="shared" si="10"/>
        <v>2025</v>
      </c>
      <c r="Z130">
        <f t="shared" si="11"/>
        <v>11</v>
      </c>
    </row>
    <row r="131" spans="1:26" x14ac:dyDescent="0.3">
      <c r="A131" s="2">
        <v>1147</v>
      </c>
      <c r="B131" s="3">
        <v>45976</v>
      </c>
      <c r="C131" s="4" t="s">
        <v>105</v>
      </c>
      <c r="D131" s="4" t="s">
        <v>106</v>
      </c>
      <c r="E131" s="4" t="s">
        <v>22</v>
      </c>
      <c r="F131" s="4" t="s">
        <v>23</v>
      </c>
      <c r="G131" t="s">
        <v>51</v>
      </c>
      <c r="H131" s="2">
        <v>2</v>
      </c>
      <c r="I131" s="2">
        <v>95</v>
      </c>
      <c r="J131">
        <v>125</v>
      </c>
      <c r="K131">
        <v>5</v>
      </c>
      <c r="L131">
        <v>12</v>
      </c>
      <c r="M131" t="s">
        <v>25</v>
      </c>
      <c r="N131" t="s">
        <v>44</v>
      </c>
      <c r="O131">
        <v>20</v>
      </c>
      <c r="P131" t="s">
        <v>52</v>
      </c>
      <c r="Q131" t="s">
        <v>37</v>
      </c>
      <c r="R131" t="s">
        <v>29</v>
      </c>
      <c r="S131" t="s">
        <v>223</v>
      </c>
      <c r="T131" s="1">
        <v>46296</v>
      </c>
      <c r="U131">
        <f t="shared" ref="U131:U194" si="12">(H131*J131)</f>
        <v>250</v>
      </c>
      <c r="V131">
        <f t="shared" ref="V131:V194" si="13">(H131*I131)</f>
        <v>190</v>
      </c>
      <c r="W131">
        <f t="shared" ref="W131:W194" si="14">(U131-V131)</f>
        <v>60</v>
      </c>
      <c r="X131" s="5">
        <f t="shared" ref="X131:X194" si="15">(W131/U131)</f>
        <v>0.24</v>
      </c>
      <c r="Y131">
        <f t="shared" ref="Y131:Y194" si="16">YEAR(B131)</f>
        <v>2025</v>
      </c>
      <c r="Z131">
        <f t="shared" ref="Z131:Z194" si="17">MONTH(B131)</f>
        <v>11</v>
      </c>
    </row>
    <row r="132" spans="1:26" x14ac:dyDescent="0.3">
      <c r="A132" s="2">
        <v>1150</v>
      </c>
      <c r="B132" s="3">
        <v>45949</v>
      </c>
      <c r="C132" s="4" t="s">
        <v>108</v>
      </c>
      <c r="D132" s="4" t="s">
        <v>32</v>
      </c>
      <c r="E132" s="4" t="s">
        <v>109</v>
      </c>
      <c r="F132" s="4" t="s">
        <v>23</v>
      </c>
      <c r="G132" t="s">
        <v>82</v>
      </c>
      <c r="H132" s="2">
        <v>2</v>
      </c>
      <c r="I132" s="2">
        <v>90</v>
      </c>
      <c r="J132">
        <v>120</v>
      </c>
      <c r="K132">
        <v>5</v>
      </c>
      <c r="L132">
        <v>12</v>
      </c>
      <c r="M132" t="s">
        <v>35</v>
      </c>
      <c r="N132" t="s">
        <v>26</v>
      </c>
      <c r="O132">
        <v>48</v>
      </c>
      <c r="P132" t="s">
        <v>52</v>
      </c>
      <c r="Q132" t="s">
        <v>37</v>
      </c>
      <c r="R132" t="s">
        <v>54</v>
      </c>
      <c r="S132" t="s">
        <v>226</v>
      </c>
      <c r="T132" s="1">
        <v>46313</v>
      </c>
      <c r="U132">
        <f t="shared" si="12"/>
        <v>240</v>
      </c>
      <c r="V132">
        <f t="shared" si="13"/>
        <v>180</v>
      </c>
      <c r="W132">
        <f t="shared" si="14"/>
        <v>60</v>
      </c>
      <c r="X132" s="5">
        <f t="shared" si="15"/>
        <v>0.25</v>
      </c>
      <c r="Y132">
        <f t="shared" si="16"/>
        <v>2025</v>
      </c>
      <c r="Z132">
        <f t="shared" si="17"/>
        <v>10</v>
      </c>
    </row>
    <row r="133" spans="1:26" x14ac:dyDescent="0.3">
      <c r="A133" s="2">
        <v>1154</v>
      </c>
      <c r="B133" s="3">
        <v>45806</v>
      </c>
      <c r="C133" s="4" t="s">
        <v>40</v>
      </c>
      <c r="D133" s="4" t="s">
        <v>41</v>
      </c>
      <c r="E133" s="4" t="s">
        <v>33</v>
      </c>
      <c r="F133" s="4" t="s">
        <v>23</v>
      </c>
      <c r="G133" t="s">
        <v>42</v>
      </c>
      <c r="H133" s="2">
        <v>2</v>
      </c>
      <c r="I133" s="2">
        <v>24</v>
      </c>
      <c r="J133">
        <v>34</v>
      </c>
      <c r="K133">
        <v>5</v>
      </c>
      <c r="L133">
        <v>12</v>
      </c>
      <c r="M133" t="s">
        <v>35</v>
      </c>
      <c r="N133" t="s">
        <v>44</v>
      </c>
      <c r="O133">
        <v>24</v>
      </c>
      <c r="P133" t="s">
        <v>27</v>
      </c>
      <c r="Q133" t="s">
        <v>28</v>
      </c>
      <c r="R133" t="s">
        <v>86</v>
      </c>
      <c r="S133" t="s">
        <v>230</v>
      </c>
      <c r="T133" s="1">
        <v>46400</v>
      </c>
      <c r="U133">
        <f t="shared" si="12"/>
        <v>68</v>
      </c>
      <c r="V133">
        <f t="shared" si="13"/>
        <v>48</v>
      </c>
      <c r="W133">
        <f t="shared" si="14"/>
        <v>20</v>
      </c>
      <c r="X133" s="5">
        <f t="shared" si="15"/>
        <v>0.29411764705882354</v>
      </c>
      <c r="Y133">
        <f t="shared" si="16"/>
        <v>2025</v>
      </c>
      <c r="Z133">
        <f t="shared" si="17"/>
        <v>5</v>
      </c>
    </row>
    <row r="134" spans="1:26" x14ac:dyDescent="0.3">
      <c r="A134" s="2">
        <v>1156</v>
      </c>
      <c r="B134" s="3">
        <v>45681</v>
      </c>
      <c r="C134" s="4" t="s">
        <v>92</v>
      </c>
      <c r="D134" s="4" t="s">
        <v>48</v>
      </c>
      <c r="E134" s="4" t="s">
        <v>54</v>
      </c>
      <c r="F134" s="4" t="s">
        <v>23</v>
      </c>
      <c r="G134" t="s">
        <v>82</v>
      </c>
      <c r="H134" s="2">
        <v>2</v>
      </c>
      <c r="I134" s="2">
        <v>18</v>
      </c>
      <c r="J134">
        <v>28</v>
      </c>
      <c r="K134">
        <v>5</v>
      </c>
      <c r="L134">
        <v>12</v>
      </c>
      <c r="M134" t="s">
        <v>35</v>
      </c>
      <c r="N134" t="s">
        <v>26</v>
      </c>
      <c r="O134">
        <v>33</v>
      </c>
      <c r="P134" t="s">
        <v>36</v>
      </c>
      <c r="Q134" t="s">
        <v>28</v>
      </c>
      <c r="R134" t="s">
        <v>29</v>
      </c>
      <c r="S134" t="s">
        <v>232</v>
      </c>
      <c r="T134" s="1">
        <v>46043</v>
      </c>
      <c r="U134">
        <f t="shared" si="12"/>
        <v>56</v>
      </c>
      <c r="V134">
        <f t="shared" si="13"/>
        <v>36</v>
      </c>
      <c r="W134">
        <f t="shared" si="14"/>
        <v>20</v>
      </c>
      <c r="X134" s="5">
        <f t="shared" si="15"/>
        <v>0.35714285714285715</v>
      </c>
      <c r="Y134">
        <f t="shared" si="16"/>
        <v>2025</v>
      </c>
      <c r="Z134">
        <f t="shared" si="17"/>
        <v>1</v>
      </c>
    </row>
    <row r="135" spans="1:26" x14ac:dyDescent="0.3">
      <c r="A135" s="2">
        <v>1158</v>
      </c>
      <c r="B135" s="3">
        <v>45862</v>
      </c>
      <c r="C135" s="4" t="s">
        <v>31</v>
      </c>
      <c r="D135" s="4" t="s">
        <v>32</v>
      </c>
      <c r="E135" s="4" t="s">
        <v>33</v>
      </c>
      <c r="F135" s="4" t="s">
        <v>23</v>
      </c>
      <c r="G135" t="s">
        <v>34</v>
      </c>
      <c r="H135" s="2">
        <v>2</v>
      </c>
      <c r="I135" s="2">
        <v>140</v>
      </c>
      <c r="J135">
        <v>180</v>
      </c>
      <c r="K135">
        <v>5</v>
      </c>
      <c r="L135">
        <v>12</v>
      </c>
      <c r="M135" t="s">
        <v>35</v>
      </c>
      <c r="N135" t="s">
        <v>44</v>
      </c>
      <c r="O135">
        <v>62</v>
      </c>
      <c r="P135" t="s">
        <v>52</v>
      </c>
      <c r="Q135" t="s">
        <v>28</v>
      </c>
      <c r="R135" t="s">
        <v>22</v>
      </c>
      <c r="S135" t="s">
        <v>234</v>
      </c>
      <c r="T135" s="1">
        <v>46180</v>
      </c>
      <c r="U135">
        <f t="shared" si="12"/>
        <v>360</v>
      </c>
      <c r="V135">
        <f t="shared" si="13"/>
        <v>280</v>
      </c>
      <c r="W135">
        <f t="shared" si="14"/>
        <v>80</v>
      </c>
      <c r="X135" s="5">
        <f t="shared" si="15"/>
        <v>0.22222222222222221</v>
      </c>
      <c r="Y135">
        <f t="shared" si="16"/>
        <v>2025</v>
      </c>
      <c r="Z135">
        <f t="shared" si="17"/>
        <v>7</v>
      </c>
    </row>
    <row r="136" spans="1:26" x14ac:dyDescent="0.3">
      <c r="A136" s="2">
        <v>1164</v>
      </c>
      <c r="B136" s="3">
        <v>45850</v>
      </c>
      <c r="C136" s="4" t="s">
        <v>69</v>
      </c>
      <c r="D136" s="4" t="s">
        <v>48</v>
      </c>
      <c r="E136" s="4" t="s">
        <v>70</v>
      </c>
      <c r="F136" s="4" t="s">
        <v>50</v>
      </c>
      <c r="G136" t="s">
        <v>71</v>
      </c>
      <c r="H136" s="2">
        <v>2</v>
      </c>
      <c r="I136" s="2">
        <v>25</v>
      </c>
      <c r="J136">
        <v>38</v>
      </c>
      <c r="K136">
        <v>10</v>
      </c>
      <c r="L136">
        <v>12</v>
      </c>
      <c r="M136" t="s">
        <v>25</v>
      </c>
      <c r="N136" t="s">
        <v>44</v>
      </c>
      <c r="O136">
        <v>31</v>
      </c>
      <c r="P136" t="s">
        <v>36</v>
      </c>
      <c r="Q136" t="s">
        <v>66</v>
      </c>
      <c r="R136" t="s">
        <v>54</v>
      </c>
      <c r="S136" t="s">
        <v>240</v>
      </c>
      <c r="T136" s="1">
        <v>46167</v>
      </c>
      <c r="U136">
        <f t="shared" si="12"/>
        <v>76</v>
      </c>
      <c r="V136">
        <f t="shared" si="13"/>
        <v>50</v>
      </c>
      <c r="W136">
        <f t="shared" si="14"/>
        <v>26</v>
      </c>
      <c r="X136" s="5">
        <f t="shared" si="15"/>
        <v>0.34210526315789475</v>
      </c>
      <c r="Y136">
        <f t="shared" si="16"/>
        <v>2025</v>
      </c>
      <c r="Z136">
        <f t="shared" si="17"/>
        <v>7</v>
      </c>
    </row>
    <row r="137" spans="1:26" x14ac:dyDescent="0.3">
      <c r="A137" s="2">
        <v>1172</v>
      </c>
      <c r="B137" s="3">
        <v>45668</v>
      </c>
      <c r="C137" s="4" t="s">
        <v>56</v>
      </c>
      <c r="D137" s="4" t="s">
        <v>57</v>
      </c>
      <c r="E137" s="4" t="s">
        <v>58</v>
      </c>
      <c r="F137" s="4" t="s">
        <v>23</v>
      </c>
      <c r="G137" t="s">
        <v>24</v>
      </c>
      <c r="H137" s="2">
        <v>2</v>
      </c>
      <c r="I137" s="2">
        <v>75</v>
      </c>
      <c r="J137">
        <v>100</v>
      </c>
      <c r="K137">
        <v>10</v>
      </c>
      <c r="L137">
        <v>12</v>
      </c>
      <c r="M137" t="s">
        <v>35</v>
      </c>
      <c r="N137" t="s">
        <v>26</v>
      </c>
      <c r="O137">
        <v>62</v>
      </c>
      <c r="P137" t="s">
        <v>36</v>
      </c>
      <c r="Q137" t="s">
        <v>59</v>
      </c>
      <c r="R137" t="s">
        <v>54</v>
      </c>
      <c r="S137" t="s">
        <v>248</v>
      </c>
      <c r="T137" s="1">
        <v>45992</v>
      </c>
      <c r="U137">
        <f t="shared" si="12"/>
        <v>200</v>
      </c>
      <c r="V137">
        <f t="shared" si="13"/>
        <v>150</v>
      </c>
      <c r="W137">
        <f t="shared" si="14"/>
        <v>50</v>
      </c>
      <c r="X137" s="5">
        <f t="shared" si="15"/>
        <v>0.25</v>
      </c>
      <c r="Y137">
        <f t="shared" si="16"/>
        <v>2025</v>
      </c>
      <c r="Z137">
        <f t="shared" si="17"/>
        <v>1</v>
      </c>
    </row>
    <row r="138" spans="1:26" x14ac:dyDescent="0.3">
      <c r="A138" s="2">
        <v>1173</v>
      </c>
      <c r="B138" s="3">
        <v>45785</v>
      </c>
      <c r="C138" s="4" t="s">
        <v>79</v>
      </c>
      <c r="D138" s="4" t="s">
        <v>80</v>
      </c>
      <c r="E138" s="4" t="s">
        <v>81</v>
      </c>
      <c r="F138" s="4" t="s">
        <v>23</v>
      </c>
      <c r="G138" t="s">
        <v>82</v>
      </c>
      <c r="H138" s="2">
        <v>2</v>
      </c>
      <c r="I138" s="2">
        <v>80</v>
      </c>
      <c r="J138">
        <v>110</v>
      </c>
      <c r="K138">
        <v>0</v>
      </c>
      <c r="L138">
        <v>12</v>
      </c>
      <c r="M138" t="s">
        <v>43</v>
      </c>
      <c r="N138" t="s">
        <v>44</v>
      </c>
      <c r="O138">
        <v>43</v>
      </c>
      <c r="P138" t="s">
        <v>52</v>
      </c>
      <c r="Q138" t="s">
        <v>37</v>
      </c>
      <c r="R138" t="s">
        <v>86</v>
      </c>
      <c r="S138" t="s">
        <v>249</v>
      </c>
      <c r="T138" s="1">
        <v>46252</v>
      </c>
      <c r="U138">
        <f t="shared" si="12"/>
        <v>220</v>
      </c>
      <c r="V138">
        <f t="shared" si="13"/>
        <v>160</v>
      </c>
      <c r="W138">
        <f t="shared" si="14"/>
        <v>60</v>
      </c>
      <c r="X138" s="5">
        <f t="shared" si="15"/>
        <v>0.27272727272727271</v>
      </c>
      <c r="Y138">
        <f t="shared" si="16"/>
        <v>2025</v>
      </c>
      <c r="Z138">
        <f t="shared" si="17"/>
        <v>5</v>
      </c>
    </row>
    <row r="139" spans="1:26" x14ac:dyDescent="0.3">
      <c r="A139" s="2">
        <v>1174</v>
      </c>
      <c r="B139" s="3">
        <v>45787</v>
      </c>
      <c r="C139" s="4" t="s">
        <v>98</v>
      </c>
      <c r="D139" s="4" t="s">
        <v>41</v>
      </c>
      <c r="E139" s="4" t="s">
        <v>33</v>
      </c>
      <c r="F139" s="4" t="s">
        <v>23</v>
      </c>
      <c r="G139" t="s">
        <v>82</v>
      </c>
      <c r="H139" s="2">
        <v>2</v>
      </c>
      <c r="I139" s="2">
        <v>22</v>
      </c>
      <c r="J139">
        <v>32</v>
      </c>
      <c r="K139">
        <v>5</v>
      </c>
      <c r="L139">
        <v>12</v>
      </c>
      <c r="M139" t="s">
        <v>35</v>
      </c>
      <c r="N139" t="s">
        <v>26</v>
      </c>
      <c r="O139">
        <v>33</v>
      </c>
      <c r="P139" t="s">
        <v>52</v>
      </c>
      <c r="Q139" t="s">
        <v>28</v>
      </c>
      <c r="R139" t="s">
        <v>86</v>
      </c>
      <c r="S139" t="s">
        <v>250</v>
      </c>
      <c r="T139" s="1">
        <v>46066</v>
      </c>
      <c r="U139">
        <f t="shared" si="12"/>
        <v>64</v>
      </c>
      <c r="V139">
        <f t="shared" si="13"/>
        <v>44</v>
      </c>
      <c r="W139">
        <f t="shared" si="14"/>
        <v>20</v>
      </c>
      <c r="X139" s="5">
        <f t="shared" si="15"/>
        <v>0.3125</v>
      </c>
      <c r="Y139">
        <f t="shared" si="16"/>
        <v>2025</v>
      </c>
      <c r="Z139">
        <f t="shared" si="17"/>
        <v>5</v>
      </c>
    </row>
    <row r="140" spans="1:26" x14ac:dyDescent="0.3">
      <c r="A140" s="2">
        <v>1179</v>
      </c>
      <c r="B140" s="3">
        <v>45687</v>
      </c>
      <c r="C140" s="4" t="s">
        <v>69</v>
      </c>
      <c r="D140" s="4" t="s">
        <v>48</v>
      </c>
      <c r="E140" s="4" t="s">
        <v>70</v>
      </c>
      <c r="F140" s="4" t="s">
        <v>50</v>
      </c>
      <c r="G140" t="s">
        <v>71</v>
      </c>
      <c r="H140" s="2">
        <v>2</v>
      </c>
      <c r="I140" s="2">
        <v>25</v>
      </c>
      <c r="J140">
        <v>38</v>
      </c>
      <c r="K140">
        <v>0</v>
      </c>
      <c r="L140">
        <v>12</v>
      </c>
      <c r="M140" t="s">
        <v>43</v>
      </c>
      <c r="N140" t="s">
        <v>44</v>
      </c>
      <c r="O140">
        <v>70</v>
      </c>
      <c r="P140" t="s">
        <v>45</v>
      </c>
      <c r="Q140" t="s">
        <v>66</v>
      </c>
      <c r="R140" t="s">
        <v>29</v>
      </c>
      <c r="S140" t="s">
        <v>255</v>
      </c>
      <c r="T140" s="1">
        <v>46021</v>
      </c>
      <c r="U140">
        <f t="shared" si="12"/>
        <v>76</v>
      </c>
      <c r="V140">
        <f t="shared" si="13"/>
        <v>50</v>
      </c>
      <c r="W140">
        <f t="shared" si="14"/>
        <v>26</v>
      </c>
      <c r="X140" s="5">
        <f t="shared" si="15"/>
        <v>0.34210526315789475</v>
      </c>
      <c r="Y140">
        <f t="shared" si="16"/>
        <v>2025</v>
      </c>
      <c r="Z140">
        <f t="shared" si="17"/>
        <v>1</v>
      </c>
    </row>
    <row r="141" spans="1:26" x14ac:dyDescent="0.3">
      <c r="A141" s="2">
        <v>1192</v>
      </c>
      <c r="B141" s="3">
        <v>45836</v>
      </c>
      <c r="C141" s="4" t="s">
        <v>84</v>
      </c>
      <c r="D141" s="4" t="s">
        <v>85</v>
      </c>
      <c r="E141" s="4" t="s">
        <v>63</v>
      </c>
      <c r="F141" s="4" t="s">
        <v>23</v>
      </c>
      <c r="G141" t="s">
        <v>82</v>
      </c>
      <c r="H141" s="2">
        <v>2</v>
      </c>
      <c r="I141" s="2">
        <v>45</v>
      </c>
      <c r="J141">
        <v>65</v>
      </c>
      <c r="K141">
        <v>10</v>
      </c>
      <c r="L141">
        <v>12</v>
      </c>
      <c r="M141" t="s">
        <v>25</v>
      </c>
      <c r="N141" t="s">
        <v>26</v>
      </c>
      <c r="O141">
        <v>19</v>
      </c>
      <c r="P141" t="s">
        <v>27</v>
      </c>
      <c r="Q141" t="s">
        <v>66</v>
      </c>
      <c r="R141" t="s">
        <v>38</v>
      </c>
      <c r="S141" t="s">
        <v>268</v>
      </c>
      <c r="T141" s="1">
        <v>46364</v>
      </c>
      <c r="U141">
        <f t="shared" si="12"/>
        <v>130</v>
      </c>
      <c r="V141">
        <f t="shared" si="13"/>
        <v>90</v>
      </c>
      <c r="W141">
        <f t="shared" si="14"/>
        <v>40</v>
      </c>
      <c r="X141" s="5">
        <f t="shared" si="15"/>
        <v>0.30769230769230771</v>
      </c>
      <c r="Y141">
        <f t="shared" si="16"/>
        <v>2025</v>
      </c>
      <c r="Z141">
        <f t="shared" si="17"/>
        <v>6</v>
      </c>
    </row>
    <row r="142" spans="1:26" x14ac:dyDescent="0.3">
      <c r="A142" s="2">
        <v>1197</v>
      </c>
      <c r="B142" s="3">
        <v>45901</v>
      </c>
      <c r="C142" s="4" t="s">
        <v>20</v>
      </c>
      <c r="D142" s="4" t="s">
        <v>21</v>
      </c>
      <c r="E142" s="4" t="s">
        <v>22</v>
      </c>
      <c r="F142" s="4" t="s">
        <v>23</v>
      </c>
      <c r="G142" t="s">
        <v>24</v>
      </c>
      <c r="H142" s="2">
        <v>2</v>
      </c>
      <c r="I142" s="2">
        <v>60</v>
      </c>
      <c r="J142">
        <v>85</v>
      </c>
      <c r="K142">
        <v>0</v>
      </c>
      <c r="L142">
        <v>12</v>
      </c>
      <c r="M142" t="s">
        <v>43</v>
      </c>
      <c r="N142" t="s">
        <v>26</v>
      </c>
      <c r="O142">
        <v>41</v>
      </c>
      <c r="P142" t="s">
        <v>45</v>
      </c>
      <c r="Q142" t="s">
        <v>59</v>
      </c>
      <c r="R142" t="s">
        <v>54</v>
      </c>
      <c r="S142" t="s">
        <v>273</v>
      </c>
      <c r="T142" s="1">
        <v>46788</v>
      </c>
      <c r="U142">
        <f t="shared" si="12"/>
        <v>170</v>
      </c>
      <c r="V142">
        <f t="shared" si="13"/>
        <v>120</v>
      </c>
      <c r="W142">
        <f t="shared" si="14"/>
        <v>50</v>
      </c>
      <c r="X142" s="5">
        <f t="shared" si="15"/>
        <v>0.29411764705882354</v>
      </c>
      <c r="Y142">
        <f t="shared" si="16"/>
        <v>2025</v>
      </c>
      <c r="Z142">
        <f t="shared" si="17"/>
        <v>9</v>
      </c>
    </row>
    <row r="143" spans="1:26" x14ac:dyDescent="0.3">
      <c r="A143" s="2">
        <v>1200</v>
      </c>
      <c r="B143" s="3">
        <v>45836</v>
      </c>
      <c r="C143" s="4" t="s">
        <v>108</v>
      </c>
      <c r="D143" s="4" t="s">
        <v>32</v>
      </c>
      <c r="E143" s="4" t="s">
        <v>109</v>
      </c>
      <c r="F143" s="4" t="s">
        <v>23</v>
      </c>
      <c r="G143" t="s">
        <v>82</v>
      </c>
      <c r="H143" s="2">
        <v>2</v>
      </c>
      <c r="I143" s="2">
        <v>90</v>
      </c>
      <c r="J143">
        <v>120</v>
      </c>
      <c r="K143">
        <v>5</v>
      </c>
      <c r="L143">
        <v>12</v>
      </c>
      <c r="M143" t="s">
        <v>25</v>
      </c>
      <c r="N143" t="s">
        <v>26</v>
      </c>
      <c r="O143">
        <v>74</v>
      </c>
      <c r="P143" t="s">
        <v>52</v>
      </c>
      <c r="Q143" t="s">
        <v>53</v>
      </c>
      <c r="R143" t="s">
        <v>29</v>
      </c>
      <c r="S143" t="s">
        <v>276</v>
      </c>
      <c r="T143" s="1">
        <v>46104</v>
      </c>
      <c r="U143">
        <f t="shared" si="12"/>
        <v>240</v>
      </c>
      <c r="V143">
        <f t="shared" si="13"/>
        <v>180</v>
      </c>
      <c r="W143">
        <f t="shared" si="14"/>
        <v>60</v>
      </c>
      <c r="X143" s="5">
        <f t="shared" si="15"/>
        <v>0.25</v>
      </c>
      <c r="Y143">
        <f t="shared" si="16"/>
        <v>2025</v>
      </c>
      <c r="Z143">
        <f t="shared" si="17"/>
        <v>6</v>
      </c>
    </row>
    <row r="144" spans="1:26" x14ac:dyDescent="0.3">
      <c r="A144" s="2">
        <v>1211</v>
      </c>
      <c r="B144" s="3">
        <v>45675</v>
      </c>
      <c r="C144" s="4" t="s">
        <v>31</v>
      </c>
      <c r="D144" s="4" t="s">
        <v>32</v>
      </c>
      <c r="E144" s="4" t="s">
        <v>33</v>
      </c>
      <c r="F144" s="4" t="s">
        <v>23</v>
      </c>
      <c r="G144" t="s">
        <v>34</v>
      </c>
      <c r="H144" s="2">
        <v>2</v>
      </c>
      <c r="I144" s="2">
        <v>140</v>
      </c>
      <c r="J144">
        <v>180</v>
      </c>
      <c r="K144">
        <v>10</v>
      </c>
      <c r="L144">
        <v>12</v>
      </c>
      <c r="M144" t="s">
        <v>43</v>
      </c>
      <c r="N144" t="s">
        <v>26</v>
      </c>
      <c r="O144">
        <v>39</v>
      </c>
      <c r="P144" t="s">
        <v>52</v>
      </c>
      <c r="Q144" t="s">
        <v>28</v>
      </c>
      <c r="R144" t="s">
        <v>29</v>
      </c>
      <c r="S144" t="s">
        <v>287</v>
      </c>
      <c r="T144" s="1">
        <v>46478</v>
      </c>
      <c r="U144">
        <f t="shared" si="12"/>
        <v>360</v>
      </c>
      <c r="V144">
        <f t="shared" si="13"/>
        <v>280</v>
      </c>
      <c r="W144">
        <f t="shared" si="14"/>
        <v>80</v>
      </c>
      <c r="X144" s="5">
        <f t="shared" si="15"/>
        <v>0.22222222222222221</v>
      </c>
      <c r="Y144">
        <f t="shared" si="16"/>
        <v>2025</v>
      </c>
      <c r="Z144">
        <f t="shared" si="17"/>
        <v>1</v>
      </c>
    </row>
    <row r="145" spans="1:26" x14ac:dyDescent="0.3">
      <c r="A145" s="2">
        <v>1215</v>
      </c>
      <c r="B145" s="3">
        <v>45803</v>
      </c>
      <c r="C145" s="4" t="s">
        <v>84</v>
      </c>
      <c r="D145" s="4" t="s">
        <v>85</v>
      </c>
      <c r="E145" s="4" t="s">
        <v>63</v>
      </c>
      <c r="F145" s="4" t="s">
        <v>23</v>
      </c>
      <c r="G145" t="s">
        <v>82</v>
      </c>
      <c r="H145" s="2">
        <v>2</v>
      </c>
      <c r="I145" s="2">
        <v>45</v>
      </c>
      <c r="J145">
        <v>65</v>
      </c>
      <c r="K145">
        <v>0</v>
      </c>
      <c r="L145">
        <v>12</v>
      </c>
      <c r="M145" t="s">
        <v>25</v>
      </c>
      <c r="N145" t="s">
        <v>44</v>
      </c>
      <c r="O145">
        <v>56</v>
      </c>
      <c r="P145" t="s">
        <v>27</v>
      </c>
      <c r="Q145" t="s">
        <v>66</v>
      </c>
      <c r="R145" t="s">
        <v>22</v>
      </c>
      <c r="S145" t="s">
        <v>291</v>
      </c>
      <c r="T145" s="1">
        <v>46647</v>
      </c>
      <c r="U145">
        <f t="shared" si="12"/>
        <v>130</v>
      </c>
      <c r="V145">
        <f t="shared" si="13"/>
        <v>90</v>
      </c>
      <c r="W145">
        <f t="shared" si="14"/>
        <v>40</v>
      </c>
      <c r="X145" s="5">
        <f t="shared" si="15"/>
        <v>0.30769230769230771</v>
      </c>
      <c r="Y145">
        <f t="shared" si="16"/>
        <v>2025</v>
      </c>
      <c r="Z145">
        <f t="shared" si="17"/>
        <v>5</v>
      </c>
    </row>
    <row r="146" spans="1:26" x14ac:dyDescent="0.3">
      <c r="A146" s="2">
        <v>1219</v>
      </c>
      <c r="B146" s="3">
        <v>45948</v>
      </c>
      <c r="C146" s="4" t="s">
        <v>20</v>
      </c>
      <c r="D146" s="4" t="s">
        <v>21</v>
      </c>
      <c r="E146" s="4" t="s">
        <v>22</v>
      </c>
      <c r="F146" s="4" t="s">
        <v>23</v>
      </c>
      <c r="G146" t="s">
        <v>24</v>
      </c>
      <c r="H146" s="2">
        <v>2</v>
      </c>
      <c r="I146" s="2">
        <v>60</v>
      </c>
      <c r="J146">
        <v>85</v>
      </c>
      <c r="K146">
        <v>5</v>
      </c>
      <c r="L146">
        <v>12</v>
      </c>
      <c r="M146" t="s">
        <v>35</v>
      </c>
      <c r="N146" t="s">
        <v>26</v>
      </c>
      <c r="O146">
        <v>54</v>
      </c>
      <c r="P146" t="s">
        <v>27</v>
      </c>
      <c r="Q146" t="s">
        <v>37</v>
      </c>
      <c r="R146" t="s">
        <v>22</v>
      </c>
      <c r="S146" t="s">
        <v>295</v>
      </c>
      <c r="T146" s="1">
        <v>46754</v>
      </c>
      <c r="U146">
        <f t="shared" si="12"/>
        <v>170</v>
      </c>
      <c r="V146">
        <f t="shared" si="13"/>
        <v>120</v>
      </c>
      <c r="W146">
        <f t="shared" si="14"/>
        <v>50</v>
      </c>
      <c r="X146" s="5">
        <f t="shared" si="15"/>
        <v>0.29411764705882354</v>
      </c>
      <c r="Y146">
        <f t="shared" si="16"/>
        <v>2025</v>
      </c>
      <c r="Z146">
        <f t="shared" si="17"/>
        <v>10</v>
      </c>
    </row>
    <row r="147" spans="1:26" x14ac:dyDescent="0.3">
      <c r="A147" s="2">
        <v>1225</v>
      </c>
      <c r="B147" s="3">
        <v>45819</v>
      </c>
      <c r="C147" s="4" t="s">
        <v>40</v>
      </c>
      <c r="D147" s="4" t="s">
        <v>41</v>
      </c>
      <c r="E147" s="4" t="s">
        <v>33</v>
      </c>
      <c r="F147" s="4" t="s">
        <v>23</v>
      </c>
      <c r="G147" t="s">
        <v>42</v>
      </c>
      <c r="H147" s="2">
        <v>2</v>
      </c>
      <c r="I147" s="2">
        <v>24</v>
      </c>
      <c r="J147">
        <v>34</v>
      </c>
      <c r="K147">
        <v>0</v>
      </c>
      <c r="L147">
        <v>12</v>
      </c>
      <c r="M147" t="s">
        <v>43</v>
      </c>
      <c r="N147" t="s">
        <v>26</v>
      </c>
      <c r="O147">
        <v>29</v>
      </c>
      <c r="P147" t="s">
        <v>36</v>
      </c>
      <c r="Q147" t="s">
        <v>59</v>
      </c>
      <c r="R147" t="s">
        <v>86</v>
      </c>
      <c r="S147" t="s">
        <v>301</v>
      </c>
      <c r="T147" s="1">
        <v>46175</v>
      </c>
      <c r="U147">
        <f t="shared" si="12"/>
        <v>68</v>
      </c>
      <c r="V147">
        <f t="shared" si="13"/>
        <v>48</v>
      </c>
      <c r="W147">
        <f t="shared" si="14"/>
        <v>20</v>
      </c>
      <c r="X147" s="5">
        <f t="shared" si="15"/>
        <v>0.29411764705882354</v>
      </c>
      <c r="Y147">
        <f t="shared" si="16"/>
        <v>2025</v>
      </c>
      <c r="Z147">
        <f t="shared" si="17"/>
        <v>6</v>
      </c>
    </row>
    <row r="148" spans="1:26" x14ac:dyDescent="0.3">
      <c r="A148" s="2">
        <v>1229</v>
      </c>
      <c r="B148" s="3">
        <v>45958</v>
      </c>
      <c r="C148" s="4" t="s">
        <v>92</v>
      </c>
      <c r="D148" s="4" t="s">
        <v>48</v>
      </c>
      <c r="E148" s="4" t="s">
        <v>54</v>
      </c>
      <c r="F148" s="4" t="s">
        <v>23</v>
      </c>
      <c r="G148" t="s">
        <v>82</v>
      </c>
      <c r="H148" s="2">
        <v>2</v>
      </c>
      <c r="I148" s="2">
        <v>18</v>
      </c>
      <c r="J148">
        <v>28</v>
      </c>
      <c r="K148">
        <v>0</v>
      </c>
      <c r="L148">
        <v>12</v>
      </c>
      <c r="M148" t="s">
        <v>43</v>
      </c>
      <c r="N148" t="s">
        <v>26</v>
      </c>
      <c r="O148">
        <v>21</v>
      </c>
      <c r="P148" t="s">
        <v>52</v>
      </c>
      <c r="Q148" t="s">
        <v>59</v>
      </c>
      <c r="R148" t="s">
        <v>29</v>
      </c>
      <c r="S148" t="s">
        <v>305</v>
      </c>
      <c r="T148" s="1">
        <v>46329</v>
      </c>
      <c r="U148">
        <f t="shared" si="12"/>
        <v>56</v>
      </c>
      <c r="V148">
        <f t="shared" si="13"/>
        <v>36</v>
      </c>
      <c r="W148">
        <f t="shared" si="14"/>
        <v>20</v>
      </c>
      <c r="X148" s="5">
        <f t="shared" si="15"/>
        <v>0.35714285714285715</v>
      </c>
      <c r="Y148">
        <f t="shared" si="16"/>
        <v>2025</v>
      </c>
      <c r="Z148">
        <f t="shared" si="17"/>
        <v>10</v>
      </c>
    </row>
    <row r="149" spans="1:26" x14ac:dyDescent="0.3">
      <c r="A149" s="2">
        <v>1232</v>
      </c>
      <c r="B149" s="3">
        <v>45922</v>
      </c>
      <c r="C149" s="4" t="s">
        <v>56</v>
      </c>
      <c r="D149" s="4" t="s">
        <v>57</v>
      </c>
      <c r="E149" s="4" t="s">
        <v>58</v>
      </c>
      <c r="F149" s="4" t="s">
        <v>23</v>
      </c>
      <c r="G149" t="s">
        <v>24</v>
      </c>
      <c r="H149" s="2">
        <v>2</v>
      </c>
      <c r="I149" s="2">
        <v>75</v>
      </c>
      <c r="J149">
        <v>100</v>
      </c>
      <c r="K149">
        <v>10</v>
      </c>
      <c r="L149">
        <v>12</v>
      </c>
      <c r="M149" t="s">
        <v>25</v>
      </c>
      <c r="N149" t="s">
        <v>26</v>
      </c>
      <c r="O149">
        <v>57</v>
      </c>
      <c r="P149" t="s">
        <v>45</v>
      </c>
      <c r="Q149" t="s">
        <v>59</v>
      </c>
      <c r="R149" t="s">
        <v>22</v>
      </c>
      <c r="S149" t="s">
        <v>308</v>
      </c>
      <c r="T149" s="1">
        <v>46161</v>
      </c>
      <c r="U149">
        <f t="shared" si="12"/>
        <v>200</v>
      </c>
      <c r="V149">
        <f t="shared" si="13"/>
        <v>150</v>
      </c>
      <c r="W149">
        <f t="shared" si="14"/>
        <v>50</v>
      </c>
      <c r="X149" s="5">
        <f t="shared" si="15"/>
        <v>0.25</v>
      </c>
      <c r="Y149">
        <f t="shared" si="16"/>
        <v>2025</v>
      </c>
      <c r="Z149">
        <f t="shared" si="17"/>
        <v>9</v>
      </c>
    </row>
    <row r="150" spans="1:26" x14ac:dyDescent="0.3">
      <c r="A150" s="2">
        <v>1237</v>
      </c>
      <c r="B150" s="3">
        <v>45769</v>
      </c>
      <c r="C150" s="4" t="s">
        <v>69</v>
      </c>
      <c r="D150" s="4" t="s">
        <v>48</v>
      </c>
      <c r="E150" s="4" t="s">
        <v>70</v>
      </c>
      <c r="F150" s="4" t="s">
        <v>50</v>
      </c>
      <c r="G150" t="s">
        <v>71</v>
      </c>
      <c r="H150" s="2">
        <v>2</v>
      </c>
      <c r="I150" s="2">
        <v>25</v>
      </c>
      <c r="J150">
        <v>38</v>
      </c>
      <c r="K150">
        <v>0</v>
      </c>
      <c r="L150">
        <v>12</v>
      </c>
      <c r="M150" t="s">
        <v>25</v>
      </c>
      <c r="N150" t="s">
        <v>26</v>
      </c>
      <c r="O150">
        <v>31</v>
      </c>
      <c r="P150" t="s">
        <v>45</v>
      </c>
      <c r="Q150" t="s">
        <v>59</v>
      </c>
      <c r="R150" t="s">
        <v>54</v>
      </c>
      <c r="S150" t="s">
        <v>313</v>
      </c>
      <c r="T150" s="1">
        <v>46222</v>
      </c>
      <c r="U150">
        <f t="shared" si="12"/>
        <v>76</v>
      </c>
      <c r="V150">
        <f t="shared" si="13"/>
        <v>50</v>
      </c>
      <c r="W150">
        <f t="shared" si="14"/>
        <v>26</v>
      </c>
      <c r="X150" s="5">
        <f t="shared" si="15"/>
        <v>0.34210526315789475</v>
      </c>
      <c r="Y150">
        <f t="shared" si="16"/>
        <v>2025</v>
      </c>
      <c r="Z150">
        <f t="shared" si="17"/>
        <v>4</v>
      </c>
    </row>
    <row r="151" spans="1:26" x14ac:dyDescent="0.3">
      <c r="A151" s="2">
        <v>1245</v>
      </c>
      <c r="B151" s="3">
        <v>45989</v>
      </c>
      <c r="C151" s="4" t="s">
        <v>31</v>
      </c>
      <c r="D151" s="4" t="s">
        <v>32</v>
      </c>
      <c r="E151" s="4" t="s">
        <v>33</v>
      </c>
      <c r="F151" s="4" t="s">
        <v>23</v>
      </c>
      <c r="G151" t="s">
        <v>34</v>
      </c>
      <c r="H151" s="2">
        <v>2</v>
      </c>
      <c r="I151" s="2">
        <v>140</v>
      </c>
      <c r="J151">
        <v>180</v>
      </c>
      <c r="K151">
        <v>0</v>
      </c>
      <c r="L151">
        <v>12</v>
      </c>
      <c r="M151" t="s">
        <v>35</v>
      </c>
      <c r="N151" t="s">
        <v>44</v>
      </c>
      <c r="O151">
        <v>69</v>
      </c>
      <c r="P151" t="s">
        <v>52</v>
      </c>
      <c r="Q151" t="s">
        <v>37</v>
      </c>
      <c r="R151" t="s">
        <v>29</v>
      </c>
      <c r="S151" t="s">
        <v>321</v>
      </c>
      <c r="T151" s="1">
        <v>46221</v>
      </c>
      <c r="U151">
        <f t="shared" si="12"/>
        <v>360</v>
      </c>
      <c r="V151">
        <f t="shared" si="13"/>
        <v>280</v>
      </c>
      <c r="W151">
        <f t="shared" si="14"/>
        <v>80</v>
      </c>
      <c r="X151" s="5">
        <f t="shared" si="15"/>
        <v>0.22222222222222221</v>
      </c>
      <c r="Y151">
        <f t="shared" si="16"/>
        <v>2025</v>
      </c>
      <c r="Z151">
        <f t="shared" si="17"/>
        <v>11</v>
      </c>
    </row>
    <row r="152" spans="1:26" x14ac:dyDescent="0.3">
      <c r="A152" s="2">
        <v>1248</v>
      </c>
      <c r="B152" s="3">
        <v>45926</v>
      </c>
      <c r="C152" s="4" t="s">
        <v>31</v>
      </c>
      <c r="D152" s="4" t="s">
        <v>32</v>
      </c>
      <c r="E152" s="4" t="s">
        <v>33</v>
      </c>
      <c r="F152" s="4" t="s">
        <v>23</v>
      </c>
      <c r="G152" t="s">
        <v>34</v>
      </c>
      <c r="H152" s="2">
        <v>2</v>
      </c>
      <c r="I152" s="2">
        <v>140</v>
      </c>
      <c r="J152">
        <v>180</v>
      </c>
      <c r="K152">
        <v>5</v>
      </c>
      <c r="L152">
        <v>12</v>
      </c>
      <c r="M152" t="s">
        <v>35</v>
      </c>
      <c r="N152" t="s">
        <v>44</v>
      </c>
      <c r="O152">
        <v>73</v>
      </c>
      <c r="P152" t="s">
        <v>52</v>
      </c>
      <c r="Q152" t="s">
        <v>37</v>
      </c>
      <c r="R152" t="s">
        <v>29</v>
      </c>
      <c r="S152" t="s">
        <v>324</v>
      </c>
      <c r="T152" s="1">
        <v>46233</v>
      </c>
      <c r="U152">
        <f t="shared" si="12"/>
        <v>360</v>
      </c>
      <c r="V152">
        <f t="shared" si="13"/>
        <v>280</v>
      </c>
      <c r="W152">
        <f t="shared" si="14"/>
        <v>80</v>
      </c>
      <c r="X152" s="5">
        <f t="shared" si="15"/>
        <v>0.22222222222222221</v>
      </c>
      <c r="Y152">
        <f t="shared" si="16"/>
        <v>2025</v>
      </c>
      <c r="Z152">
        <f t="shared" si="17"/>
        <v>9</v>
      </c>
    </row>
    <row r="153" spans="1:26" x14ac:dyDescent="0.3">
      <c r="A153" s="2">
        <v>1249</v>
      </c>
      <c r="B153" s="3">
        <v>45727</v>
      </c>
      <c r="C153" s="4" t="s">
        <v>61</v>
      </c>
      <c r="D153" s="4" t="s">
        <v>62</v>
      </c>
      <c r="E153" s="4" t="s">
        <v>63</v>
      </c>
      <c r="F153" s="4" t="s">
        <v>23</v>
      </c>
      <c r="G153" t="s">
        <v>64</v>
      </c>
      <c r="H153" s="2">
        <v>2</v>
      </c>
      <c r="I153" s="2">
        <v>12</v>
      </c>
      <c r="J153">
        <v>20</v>
      </c>
      <c r="K153">
        <v>10</v>
      </c>
      <c r="L153">
        <v>12</v>
      </c>
      <c r="M153" t="s">
        <v>25</v>
      </c>
      <c r="N153" t="s">
        <v>26</v>
      </c>
      <c r="O153">
        <v>64</v>
      </c>
      <c r="P153" t="s">
        <v>52</v>
      </c>
      <c r="Q153" t="s">
        <v>59</v>
      </c>
      <c r="R153" t="s">
        <v>86</v>
      </c>
      <c r="S153" t="s">
        <v>325</v>
      </c>
      <c r="T153" s="1">
        <v>46327</v>
      </c>
      <c r="U153">
        <f t="shared" si="12"/>
        <v>40</v>
      </c>
      <c r="V153">
        <f t="shared" si="13"/>
        <v>24</v>
      </c>
      <c r="W153">
        <f t="shared" si="14"/>
        <v>16</v>
      </c>
      <c r="X153" s="5">
        <f t="shared" si="15"/>
        <v>0.4</v>
      </c>
      <c r="Y153">
        <f t="shared" si="16"/>
        <v>2025</v>
      </c>
      <c r="Z153">
        <f t="shared" si="17"/>
        <v>3</v>
      </c>
    </row>
    <row r="154" spans="1:26" x14ac:dyDescent="0.3">
      <c r="A154" s="2">
        <v>1251</v>
      </c>
      <c r="B154" s="3">
        <v>45690</v>
      </c>
      <c r="C154" s="4" t="s">
        <v>98</v>
      </c>
      <c r="D154" s="4" t="s">
        <v>41</v>
      </c>
      <c r="E154" s="4" t="s">
        <v>33</v>
      </c>
      <c r="F154" s="4" t="s">
        <v>23</v>
      </c>
      <c r="G154" t="s">
        <v>82</v>
      </c>
      <c r="H154" s="2">
        <v>2</v>
      </c>
      <c r="I154" s="2">
        <v>22</v>
      </c>
      <c r="J154">
        <v>32</v>
      </c>
      <c r="K154">
        <v>0</v>
      </c>
      <c r="L154">
        <v>12</v>
      </c>
      <c r="M154" t="s">
        <v>35</v>
      </c>
      <c r="N154" t="s">
        <v>26</v>
      </c>
      <c r="O154">
        <v>41</v>
      </c>
      <c r="P154" t="s">
        <v>27</v>
      </c>
      <c r="Q154" t="s">
        <v>53</v>
      </c>
      <c r="R154" t="s">
        <v>38</v>
      </c>
      <c r="S154" t="s">
        <v>327</v>
      </c>
      <c r="T154" s="1">
        <v>45900</v>
      </c>
      <c r="U154">
        <f t="shared" si="12"/>
        <v>64</v>
      </c>
      <c r="V154">
        <f t="shared" si="13"/>
        <v>44</v>
      </c>
      <c r="W154">
        <f t="shared" si="14"/>
        <v>20</v>
      </c>
      <c r="X154" s="5">
        <f t="shared" si="15"/>
        <v>0.3125</v>
      </c>
      <c r="Y154">
        <f t="shared" si="16"/>
        <v>2025</v>
      </c>
      <c r="Z154">
        <f t="shared" si="17"/>
        <v>2</v>
      </c>
    </row>
    <row r="155" spans="1:26" x14ac:dyDescent="0.3">
      <c r="A155" s="2">
        <v>1252</v>
      </c>
      <c r="B155" s="3">
        <v>45999</v>
      </c>
      <c r="C155" s="4" t="s">
        <v>69</v>
      </c>
      <c r="D155" s="4" t="s">
        <v>48</v>
      </c>
      <c r="E155" s="4" t="s">
        <v>70</v>
      </c>
      <c r="F155" s="4" t="s">
        <v>50</v>
      </c>
      <c r="G155" t="s">
        <v>71</v>
      </c>
      <c r="H155" s="2">
        <v>2</v>
      </c>
      <c r="I155" s="2">
        <v>25</v>
      </c>
      <c r="J155">
        <v>38</v>
      </c>
      <c r="K155">
        <v>10</v>
      </c>
      <c r="L155">
        <v>12</v>
      </c>
      <c r="M155" t="s">
        <v>35</v>
      </c>
      <c r="N155" t="s">
        <v>26</v>
      </c>
      <c r="O155">
        <v>73</v>
      </c>
      <c r="P155" t="s">
        <v>52</v>
      </c>
      <c r="Q155" t="s">
        <v>66</v>
      </c>
      <c r="R155" t="s">
        <v>22</v>
      </c>
      <c r="S155" t="s">
        <v>328</v>
      </c>
      <c r="T155" s="1">
        <v>46549</v>
      </c>
      <c r="U155">
        <f t="shared" si="12"/>
        <v>76</v>
      </c>
      <c r="V155">
        <f t="shared" si="13"/>
        <v>50</v>
      </c>
      <c r="W155">
        <f t="shared" si="14"/>
        <v>26</v>
      </c>
      <c r="X155" s="5">
        <f t="shared" si="15"/>
        <v>0.34210526315789475</v>
      </c>
      <c r="Y155">
        <f t="shared" si="16"/>
        <v>2025</v>
      </c>
      <c r="Z155">
        <f t="shared" si="17"/>
        <v>12</v>
      </c>
    </row>
    <row r="156" spans="1:26" x14ac:dyDescent="0.3">
      <c r="A156" s="2">
        <v>1255</v>
      </c>
      <c r="B156" s="3">
        <v>45706</v>
      </c>
      <c r="C156" s="4" t="s">
        <v>105</v>
      </c>
      <c r="D156" s="4" t="s">
        <v>106</v>
      </c>
      <c r="E156" s="4" t="s">
        <v>22</v>
      </c>
      <c r="F156" s="4" t="s">
        <v>23</v>
      </c>
      <c r="G156" t="s">
        <v>51</v>
      </c>
      <c r="H156" s="2">
        <v>2</v>
      </c>
      <c r="I156" s="2">
        <v>95</v>
      </c>
      <c r="J156">
        <v>125</v>
      </c>
      <c r="K156">
        <v>0</v>
      </c>
      <c r="L156">
        <v>12</v>
      </c>
      <c r="M156" t="s">
        <v>43</v>
      </c>
      <c r="N156" t="s">
        <v>44</v>
      </c>
      <c r="O156">
        <v>41</v>
      </c>
      <c r="P156" t="s">
        <v>36</v>
      </c>
      <c r="Q156" t="s">
        <v>66</v>
      </c>
      <c r="R156" t="s">
        <v>22</v>
      </c>
      <c r="S156" t="s">
        <v>330</v>
      </c>
      <c r="T156" s="1">
        <v>46451</v>
      </c>
      <c r="U156">
        <f t="shared" si="12"/>
        <v>250</v>
      </c>
      <c r="V156">
        <f t="shared" si="13"/>
        <v>190</v>
      </c>
      <c r="W156">
        <f t="shared" si="14"/>
        <v>60</v>
      </c>
      <c r="X156" s="5">
        <f t="shared" si="15"/>
        <v>0.24</v>
      </c>
      <c r="Y156">
        <f t="shared" si="16"/>
        <v>2025</v>
      </c>
      <c r="Z156">
        <f t="shared" si="17"/>
        <v>2</v>
      </c>
    </row>
    <row r="157" spans="1:26" x14ac:dyDescent="0.3">
      <c r="A157" s="2">
        <v>1281</v>
      </c>
      <c r="B157" s="3">
        <v>45845</v>
      </c>
      <c r="C157" s="4" t="s">
        <v>56</v>
      </c>
      <c r="D157" s="4" t="s">
        <v>57</v>
      </c>
      <c r="E157" s="4" t="s">
        <v>58</v>
      </c>
      <c r="F157" s="4" t="s">
        <v>23</v>
      </c>
      <c r="G157" t="s">
        <v>24</v>
      </c>
      <c r="H157" s="2">
        <v>2</v>
      </c>
      <c r="I157" s="2">
        <v>75</v>
      </c>
      <c r="J157">
        <v>100</v>
      </c>
      <c r="K157">
        <v>0</v>
      </c>
      <c r="L157">
        <v>12</v>
      </c>
      <c r="M157" t="s">
        <v>35</v>
      </c>
      <c r="N157" t="s">
        <v>26</v>
      </c>
      <c r="O157">
        <v>33</v>
      </c>
      <c r="P157" t="s">
        <v>36</v>
      </c>
      <c r="Q157" t="s">
        <v>28</v>
      </c>
      <c r="R157" t="s">
        <v>38</v>
      </c>
      <c r="S157" t="s">
        <v>356</v>
      </c>
      <c r="T157" s="1">
        <v>46028</v>
      </c>
      <c r="U157">
        <f t="shared" si="12"/>
        <v>200</v>
      </c>
      <c r="V157">
        <f t="shared" si="13"/>
        <v>150</v>
      </c>
      <c r="W157">
        <f t="shared" si="14"/>
        <v>50</v>
      </c>
      <c r="X157" s="5">
        <f t="shared" si="15"/>
        <v>0.25</v>
      </c>
      <c r="Y157">
        <f t="shared" si="16"/>
        <v>2025</v>
      </c>
      <c r="Z157">
        <f t="shared" si="17"/>
        <v>7</v>
      </c>
    </row>
    <row r="158" spans="1:26" x14ac:dyDescent="0.3">
      <c r="A158" s="2">
        <v>1288</v>
      </c>
      <c r="B158" s="3">
        <v>45989</v>
      </c>
      <c r="C158" s="4" t="s">
        <v>75</v>
      </c>
      <c r="D158" s="4" t="s">
        <v>41</v>
      </c>
      <c r="E158" s="4" t="s">
        <v>76</v>
      </c>
      <c r="F158" s="4" t="s">
        <v>23</v>
      </c>
      <c r="G158" t="s">
        <v>42</v>
      </c>
      <c r="H158" s="2">
        <v>2</v>
      </c>
      <c r="I158" s="2">
        <v>25</v>
      </c>
      <c r="J158">
        <v>35</v>
      </c>
      <c r="K158">
        <v>10</v>
      </c>
      <c r="L158">
        <v>12</v>
      </c>
      <c r="M158" t="s">
        <v>43</v>
      </c>
      <c r="N158" t="s">
        <v>26</v>
      </c>
      <c r="O158">
        <v>29</v>
      </c>
      <c r="P158" t="s">
        <v>52</v>
      </c>
      <c r="Q158" t="s">
        <v>59</v>
      </c>
      <c r="R158" t="s">
        <v>54</v>
      </c>
      <c r="S158" t="s">
        <v>363</v>
      </c>
      <c r="T158" s="1">
        <v>46487</v>
      </c>
      <c r="U158">
        <f t="shared" si="12"/>
        <v>70</v>
      </c>
      <c r="V158">
        <f t="shared" si="13"/>
        <v>50</v>
      </c>
      <c r="W158">
        <f t="shared" si="14"/>
        <v>20</v>
      </c>
      <c r="X158" s="5">
        <f t="shared" si="15"/>
        <v>0.2857142857142857</v>
      </c>
      <c r="Y158">
        <f t="shared" si="16"/>
        <v>2025</v>
      </c>
      <c r="Z158">
        <f t="shared" si="17"/>
        <v>11</v>
      </c>
    </row>
    <row r="159" spans="1:26" x14ac:dyDescent="0.3">
      <c r="A159" s="2">
        <v>1293</v>
      </c>
      <c r="B159" s="3">
        <v>45873</v>
      </c>
      <c r="C159" s="4" t="s">
        <v>75</v>
      </c>
      <c r="D159" s="4" t="s">
        <v>41</v>
      </c>
      <c r="E159" s="4" t="s">
        <v>76</v>
      </c>
      <c r="F159" s="4" t="s">
        <v>23</v>
      </c>
      <c r="G159" t="s">
        <v>42</v>
      </c>
      <c r="H159" s="2">
        <v>2</v>
      </c>
      <c r="I159" s="2">
        <v>25</v>
      </c>
      <c r="J159">
        <v>35</v>
      </c>
      <c r="K159">
        <v>0</v>
      </c>
      <c r="L159">
        <v>12</v>
      </c>
      <c r="M159" t="s">
        <v>35</v>
      </c>
      <c r="N159" t="s">
        <v>26</v>
      </c>
      <c r="O159">
        <v>68</v>
      </c>
      <c r="P159" t="s">
        <v>45</v>
      </c>
      <c r="Q159" t="s">
        <v>59</v>
      </c>
      <c r="R159" t="s">
        <v>29</v>
      </c>
      <c r="S159" t="s">
        <v>368</v>
      </c>
      <c r="T159" s="1">
        <v>46327</v>
      </c>
      <c r="U159">
        <f t="shared" si="12"/>
        <v>70</v>
      </c>
      <c r="V159">
        <f t="shared" si="13"/>
        <v>50</v>
      </c>
      <c r="W159">
        <f t="shared" si="14"/>
        <v>20</v>
      </c>
      <c r="X159" s="5">
        <f t="shared" si="15"/>
        <v>0.2857142857142857</v>
      </c>
      <c r="Y159">
        <f t="shared" si="16"/>
        <v>2025</v>
      </c>
      <c r="Z159">
        <f t="shared" si="17"/>
        <v>8</v>
      </c>
    </row>
    <row r="160" spans="1:26" x14ac:dyDescent="0.3">
      <c r="A160" s="2">
        <v>1297</v>
      </c>
      <c r="B160" s="3">
        <v>45766</v>
      </c>
      <c r="C160" s="4" t="s">
        <v>75</v>
      </c>
      <c r="D160" s="4" t="s">
        <v>41</v>
      </c>
      <c r="E160" s="4" t="s">
        <v>76</v>
      </c>
      <c r="F160" s="4" t="s">
        <v>23</v>
      </c>
      <c r="G160" t="s">
        <v>42</v>
      </c>
      <c r="H160" s="2">
        <v>2</v>
      </c>
      <c r="I160" s="2">
        <v>25</v>
      </c>
      <c r="J160">
        <v>35</v>
      </c>
      <c r="K160">
        <v>10</v>
      </c>
      <c r="L160">
        <v>12</v>
      </c>
      <c r="M160" t="s">
        <v>35</v>
      </c>
      <c r="N160" t="s">
        <v>26</v>
      </c>
      <c r="O160">
        <v>22</v>
      </c>
      <c r="P160" t="s">
        <v>36</v>
      </c>
      <c r="Q160" t="s">
        <v>37</v>
      </c>
      <c r="R160" t="s">
        <v>54</v>
      </c>
      <c r="S160" t="s">
        <v>372</v>
      </c>
      <c r="T160" s="1">
        <v>46509</v>
      </c>
      <c r="U160">
        <f t="shared" si="12"/>
        <v>70</v>
      </c>
      <c r="V160">
        <f t="shared" si="13"/>
        <v>50</v>
      </c>
      <c r="W160">
        <f t="shared" si="14"/>
        <v>20</v>
      </c>
      <c r="X160" s="5">
        <f t="shared" si="15"/>
        <v>0.2857142857142857</v>
      </c>
      <c r="Y160">
        <f t="shared" si="16"/>
        <v>2025</v>
      </c>
      <c r="Z160">
        <f t="shared" si="17"/>
        <v>4</v>
      </c>
    </row>
    <row r="161" spans="1:26" x14ac:dyDescent="0.3">
      <c r="A161" s="2">
        <v>1298</v>
      </c>
      <c r="B161" s="3">
        <v>45741</v>
      </c>
      <c r="C161" s="4" t="s">
        <v>98</v>
      </c>
      <c r="D161" s="4" t="s">
        <v>41</v>
      </c>
      <c r="E161" s="4" t="s">
        <v>33</v>
      </c>
      <c r="F161" s="4" t="s">
        <v>23</v>
      </c>
      <c r="G161" t="s">
        <v>82</v>
      </c>
      <c r="H161" s="2">
        <v>2</v>
      </c>
      <c r="I161" s="2">
        <v>22</v>
      </c>
      <c r="J161">
        <v>32</v>
      </c>
      <c r="K161">
        <v>5</v>
      </c>
      <c r="L161">
        <v>12</v>
      </c>
      <c r="M161" t="s">
        <v>25</v>
      </c>
      <c r="N161" t="s">
        <v>44</v>
      </c>
      <c r="O161">
        <v>28</v>
      </c>
      <c r="P161" t="s">
        <v>27</v>
      </c>
      <c r="Q161" t="s">
        <v>28</v>
      </c>
      <c r="R161" t="s">
        <v>22</v>
      </c>
      <c r="S161" t="s">
        <v>373</v>
      </c>
      <c r="T161" s="1">
        <v>46209</v>
      </c>
      <c r="U161">
        <f t="shared" si="12"/>
        <v>64</v>
      </c>
      <c r="V161">
        <f t="shared" si="13"/>
        <v>44</v>
      </c>
      <c r="W161">
        <f t="shared" si="14"/>
        <v>20</v>
      </c>
      <c r="X161" s="5">
        <f t="shared" si="15"/>
        <v>0.3125</v>
      </c>
      <c r="Y161">
        <f t="shared" si="16"/>
        <v>2025</v>
      </c>
      <c r="Z161">
        <f t="shared" si="17"/>
        <v>3</v>
      </c>
    </row>
    <row r="162" spans="1:26" x14ac:dyDescent="0.3">
      <c r="A162" s="2">
        <v>1306</v>
      </c>
      <c r="B162" s="3">
        <v>45663</v>
      </c>
      <c r="C162" s="4" t="s">
        <v>98</v>
      </c>
      <c r="D162" s="4" t="s">
        <v>41</v>
      </c>
      <c r="E162" s="4" t="s">
        <v>33</v>
      </c>
      <c r="F162" s="4" t="s">
        <v>23</v>
      </c>
      <c r="G162" t="s">
        <v>82</v>
      </c>
      <c r="H162" s="2">
        <v>2</v>
      </c>
      <c r="I162" s="2">
        <v>22</v>
      </c>
      <c r="J162">
        <v>32</v>
      </c>
      <c r="K162">
        <v>10</v>
      </c>
      <c r="L162">
        <v>12</v>
      </c>
      <c r="M162" t="s">
        <v>35</v>
      </c>
      <c r="N162" t="s">
        <v>26</v>
      </c>
      <c r="O162">
        <v>68</v>
      </c>
      <c r="P162" t="s">
        <v>27</v>
      </c>
      <c r="Q162" t="s">
        <v>37</v>
      </c>
      <c r="R162" t="s">
        <v>54</v>
      </c>
      <c r="S162" t="s">
        <v>381</v>
      </c>
      <c r="T162" s="1">
        <v>45989</v>
      </c>
      <c r="U162">
        <f t="shared" si="12"/>
        <v>64</v>
      </c>
      <c r="V162">
        <f t="shared" si="13"/>
        <v>44</v>
      </c>
      <c r="W162">
        <f t="shared" si="14"/>
        <v>20</v>
      </c>
      <c r="X162" s="5">
        <f t="shared" si="15"/>
        <v>0.3125</v>
      </c>
      <c r="Y162">
        <f t="shared" si="16"/>
        <v>2025</v>
      </c>
      <c r="Z162">
        <f t="shared" si="17"/>
        <v>1</v>
      </c>
    </row>
    <row r="163" spans="1:26" x14ac:dyDescent="0.3">
      <c r="A163" s="2">
        <v>1312</v>
      </c>
      <c r="B163" s="3">
        <v>45665</v>
      </c>
      <c r="C163" s="4" t="s">
        <v>92</v>
      </c>
      <c r="D163" s="4" t="s">
        <v>48</v>
      </c>
      <c r="E163" s="4" t="s">
        <v>54</v>
      </c>
      <c r="F163" s="4" t="s">
        <v>23</v>
      </c>
      <c r="G163" t="s">
        <v>82</v>
      </c>
      <c r="H163" s="2">
        <v>2</v>
      </c>
      <c r="I163" s="2">
        <v>18</v>
      </c>
      <c r="J163">
        <v>28</v>
      </c>
      <c r="K163">
        <v>10</v>
      </c>
      <c r="L163">
        <v>12</v>
      </c>
      <c r="M163" t="s">
        <v>35</v>
      </c>
      <c r="N163" t="s">
        <v>26</v>
      </c>
      <c r="O163">
        <v>45</v>
      </c>
      <c r="P163" t="s">
        <v>45</v>
      </c>
      <c r="Q163" t="s">
        <v>59</v>
      </c>
      <c r="R163" t="s">
        <v>29</v>
      </c>
      <c r="S163" t="s">
        <v>387</v>
      </c>
      <c r="T163" s="1">
        <v>46362</v>
      </c>
      <c r="U163">
        <f t="shared" si="12"/>
        <v>56</v>
      </c>
      <c r="V163">
        <f t="shared" si="13"/>
        <v>36</v>
      </c>
      <c r="W163">
        <f t="shared" si="14"/>
        <v>20</v>
      </c>
      <c r="X163" s="5">
        <f t="shared" si="15"/>
        <v>0.35714285714285715</v>
      </c>
      <c r="Y163">
        <f t="shared" si="16"/>
        <v>2025</v>
      </c>
      <c r="Z163">
        <f t="shared" si="17"/>
        <v>1</v>
      </c>
    </row>
    <row r="164" spans="1:26" x14ac:dyDescent="0.3">
      <c r="A164" s="2">
        <v>1331</v>
      </c>
      <c r="B164" s="3">
        <v>45950</v>
      </c>
      <c r="C164" s="4" t="s">
        <v>134</v>
      </c>
      <c r="D164" s="4" t="s">
        <v>21</v>
      </c>
      <c r="E164" s="4" t="s">
        <v>29</v>
      </c>
      <c r="F164" s="4" t="s">
        <v>50</v>
      </c>
      <c r="G164" t="s">
        <v>24</v>
      </c>
      <c r="H164" s="2">
        <v>2</v>
      </c>
      <c r="I164" s="2">
        <v>70</v>
      </c>
      <c r="J164">
        <v>95</v>
      </c>
      <c r="K164">
        <v>5</v>
      </c>
      <c r="L164">
        <v>12</v>
      </c>
      <c r="M164" t="s">
        <v>43</v>
      </c>
      <c r="N164" t="s">
        <v>26</v>
      </c>
      <c r="O164">
        <v>20</v>
      </c>
      <c r="P164" t="s">
        <v>52</v>
      </c>
      <c r="Q164" t="s">
        <v>66</v>
      </c>
      <c r="R164" t="s">
        <v>54</v>
      </c>
      <c r="S164" t="s">
        <v>404</v>
      </c>
      <c r="T164" s="1">
        <v>46779</v>
      </c>
      <c r="U164">
        <f t="shared" si="12"/>
        <v>190</v>
      </c>
      <c r="V164">
        <f t="shared" si="13"/>
        <v>140</v>
      </c>
      <c r="W164">
        <f t="shared" si="14"/>
        <v>50</v>
      </c>
      <c r="X164" s="5">
        <f t="shared" si="15"/>
        <v>0.26315789473684209</v>
      </c>
      <c r="Y164">
        <f t="shared" si="16"/>
        <v>2025</v>
      </c>
      <c r="Z164">
        <f t="shared" si="17"/>
        <v>10</v>
      </c>
    </row>
    <row r="165" spans="1:26" x14ac:dyDescent="0.3">
      <c r="A165" s="2">
        <v>1336</v>
      </c>
      <c r="B165" s="3">
        <v>45803</v>
      </c>
      <c r="C165" s="4" t="s">
        <v>47</v>
      </c>
      <c r="D165" s="4" t="s">
        <v>48</v>
      </c>
      <c r="E165" s="4" t="s">
        <v>49</v>
      </c>
      <c r="F165" s="4" t="s">
        <v>50</v>
      </c>
      <c r="G165" t="s">
        <v>51</v>
      </c>
      <c r="H165" s="2">
        <v>2</v>
      </c>
      <c r="I165" s="2">
        <v>35</v>
      </c>
      <c r="J165">
        <v>50</v>
      </c>
      <c r="K165">
        <v>10</v>
      </c>
      <c r="L165">
        <v>12</v>
      </c>
      <c r="M165" t="s">
        <v>43</v>
      </c>
      <c r="N165" t="s">
        <v>26</v>
      </c>
      <c r="O165">
        <v>47</v>
      </c>
      <c r="P165" t="s">
        <v>27</v>
      </c>
      <c r="Q165" t="s">
        <v>59</v>
      </c>
      <c r="R165" t="s">
        <v>54</v>
      </c>
      <c r="S165" t="s">
        <v>408</v>
      </c>
      <c r="T165" s="1">
        <v>46629</v>
      </c>
      <c r="U165">
        <f t="shared" si="12"/>
        <v>100</v>
      </c>
      <c r="V165">
        <f t="shared" si="13"/>
        <v>70</v>
      </c>
      <c r="W165">
        <f t="shared" si="14"/>
        <v>30</v>
      </c>
      <c r="X165" s="5">
        <f t="shared" si="15"/>
        <v>0.3</v>
      </c>
      <c r="Y165">
        <f t="shared" si="16"/>
        <v>2025</v>
      </c>
      <c r="Z165">
        <f t="shared" si="17"/>
        <v>5</v>
      </c>
    </row>
    <row r="166" spans="1:26" x14ac:dyDescent="0.3">
      <c r="A166" s="2">
        <v>1337</v>
      </c>
      <c r="B166" s="3">
        <v>45854</v>
      </c>
      <c r="C166" s="4" t="s">
        <v>31</v>
      </c>
      <c r="D166" s="4" t="s">
        <v>32</v>
      </c>
      <c r="E166" s="4" t="s">
        <v>33</v>
      </c>
      <c r="F166" s="4" t="s">
        <v>23</v>
      </c>
      <c r="G166" t="s">
        <v>34</v>
      </c>
      <c r="H166" s="2">
        <v>2</v>
      </c>
      <c r="I166" s="2">
        <v>140</v>
      </c>
      <c r="J166">
        <v>180</v>
      </c>
      <c r="K166">
        <v>10</v>
      </c>
      <c r="L166">
        <v>12</v>
      </c>
      <c r="M166" t="s">
        <v>43</v>
      </c>
      <c r="N166" t="s">
        <v>26</v>
      </c>
      <c r="O166">
        <v>34</v>
      </c>
      <c r="P166" t="s">
        <v>52</v>
      </c>
      <c r="Q166" t="s">
        <v>28</v>
      </c>
      <c r="R166" t="s">
        <v>38</v>
      </c>
      <c r="S166" t="s">
        <v>409</v>
      </c>
      <c r="T166" s="1">
        <v>46563</v>
      </c>
      <c r="U166">
        <f t="shared" si="12"/>
        <v>360</v>
      </c>
      <c r="V166">
        <f t="shared" si="13"/>
        <v>280</v>
      </c>
      <c r="W166">
        <f t="shared" si="14"/>
        <v>80</v>
      </c>
      <c r="X166" s="5">
        <f t="shared" si="15"/>
        <v>0.22222222222222221</v>
      </c>
      <c r="Y166">
        <f t="shared" si="16"/>
        <v>2025</v>
      </c>
      <c r="Z166">
        <f t="shared" si="17"/>
        <v>7</v>
      </c>
    </row>
    <row r="167" spans="1:26" x14ac:dyDescent="0.3">
      <c r="A167" s="2">
        <v>1346</v>
      </c>
      <c r="B167" s="3">
        <v>45857</v>
      </c>
      <c r="C167" s="4" t="s">
        <v>47</v>
      </c>
      <c r="D167" s="4" t="s">
        <v>48</v>
      </c>
      <c r="E167" s="4" t="s">
        <v>49</v>
      </c>
      <c r="F167" s="4" t="s">
        <v>50</v>
      </c>
      <c r="G167" t="s">
        <v>51</v>
      </c>
      <c r="H167" s="2">
        <v>2</v>
      </c>
      <c r="I167" s="2">
        <v>35</v>
      </c>
      <c r="J167">
        <v>50</v>
      </c>
      <c r="K167">
        <v>5</v>
      </c>
      <c r="L167">
        <v>12</v>
      </c>
      <c r="M167" t="s">
        <v>43</v>
      </c>
      <c r="N167" t="s">
        <v>44</v>
      </c>
      <c r="O167">
        <v>35</v>
      </c>
      <c r="P167" t="s">
        <v>52</v>
      </c>
      <c r="Q167" t="s">
        <v>66</v>
      </c>
      <c r="R167" t="s">
        <v>38</v>
      </c>
      <c r="S167" t="s">
        <v>418</v>
      </c>
      <c r="T167" s="1">
        <v>46433</v>
      </c>
      <c r="U167">
        <f t="shared" si="12"/>
        <v>100</v>
      </c>
      <c r="V167">
        <f t="shared" si="13"/>
        <v>70</v>
      </c>
      <c r="W167">
        <f t="shared" si="14"/>
        <v>30</v>
      </c>
      <c r="X167" s="5">
        <f t="shared" si="15"/>
        <v>0.3</v>
      </c>
      <c r="Y167">
        <f t="shared" si="16"/>
        <v>2025</v>
      </c>
      <c r="Z167">
        <f t="shared" si="17"/>
        <v>7</v>
      </c>
    </row>
    <row r="168" spans="1:26" x14ac:dyDescent="0.3">
      <c r="A168" s="2">
        <v>1348</v>
      </c>
      <c r="B168" s="3">
        <v>45782</v>
      </c>
      <c r="C168" s="4" t="s">
        <v>69</v>
      </c>
      <c r="D168" s="4" t="s">
        <v>48</v>
      </c>
      <c r="E168" s="4" t="s">
        <v>70</v>
      </c>
      <c r="F168" s="4" t="s">
        <v>50</v>
      </c>
      <c r="G168" t="s">
        <v>71</v>
      </c>
      <c r="H168" s="2">
        <v>2</v>
      </c>
      <c r="I168" s="2">
        <v>25</v>
      </c>
      <c r="J168">
        <v>38</v>
      </c>
      <c r="K168">
        <v>5</v>
      </c>
      <c r="L168">
        <v>12</v>
      </c>
      <c r="M168" t="s">
        <v>35</v>
      </c>
      <c r="N168" t="s">
        <v>44</v>
      </c>
      <c r="O168">
        <v>43</v>
      </c>
      <c r="P168" t="s">
        <v>27</v>
      </c>
      <c r="Q168" t="s">
        <v>28</v>
      </c>
      <c r="R168" t="s">
        <v>38</v>
      </c>
      <c r="S168" t="s">
        <v>420</v>
      </c>
      <c r="T168" s="1">
        <v>46343</v>
      </c>
      <c r="U168">
        <f t="shared" si="12"/>
        <v>76</v>
      </c>
      <c r="V168">
        <f t="shared" si="13"/>
        <v>50</v>
      </c>
      <c r="W168">
        <f t="shared" si="14"/>
        <v>26</v>
      </c>
      <c r="X168" s="5">
        <f t="shared" si="15"/>
        <v>0.34210526315789475</v>
      </c>
      <c r="Y168">
        <f t="shared" si="16"/>
        <v>2025</v>
      </c>
      <c r="Z168">
        <f t="shared" si="17"/>
        <v>5</v>
      </c>
    </row>
    <row r="169" spans="1:26" x14ac:dyDescent="0.3">
      <c r="A169" s="2">
        <v>1351</v>
      </c>
      <c r="B169" s="3">
        <v>45686</v>
      </c>
      <c r="C169" s="4" t="s">
        <v>75</v>
      </c>
      <c r="D169" s="4" t="s">
        <v>41</v>
      </c>
      <c r="E169" s="4" t="s">
        <v>76</v>
      </c>
      <c r="F169" s="4" t="s">
        <v>23</v>
      </c>
      <c r="G169" t="s">
        <v>42</v>
      </c>
      <c r="H169" s="2">
        <v>2</v>
      </c>
      <c r="I169" s="2">
        <v>25</v>
      </c>
      <c r="J169">
        <v>35</v>
      </c>
      <c r="K169">
        <v>5</v>
      </c>
      <c r="L169">
        <v>12</v>
      </c>
      <c r="M169" t="s">
        <v>43</v>
      </c>
      <c r="N169" t="s">
        <v>44</v>
      </c>
      <c r="O169">
        <v>33</v>
      </c>
      <c r="P169" t="s">
        <v>27</v>
      </c>
      <c r="Q169" t="s">
        <v>53</v>
      </c>
      <c r="R169" t="s">
        <v>29</v>
      </c>
      <c r="S169" t="s">
        <v>423</v>
      </c>
      <c r="T169" s="1">
        <v>46026</v>
      </c>
      <c r="U169">
        <f t="shared" si="12"/>
        <v>70</v>
      </c>
      <c r="V169">
        <f t="shared" si="13"/>
        <v>50</v>
      </c>
      <c r="W169">
        <f t="shared" si="14"/>
        <v>20</v>
      </c>
      <c r="X169" s="5">
        <f t="shared" si="15"/>
        <v>0.2857142857142857</v>
      </c>
      <c r="Y169">
        <f t="shared" si="16"/>
        <v>2025</v>
      </c>
      <c r="Z169">
        <f t="shared" si="17"/>
        <v>1</v>
      </c>
    </row>
    <row r="170" spans="1:26" x14ac:dyDescent="0.3">
      <c r="A170" s="2">
        <v>1353</v>
      </c>
      <c r="B170" s="3">
        <v>45993</v>
      </c>
      <c r="C170" s="4" t="s">
        <v>61</v>
      </c>
      <c r="D170" s="4" t="s">
        <v>62</v>
      </c>
      <c r="E170" s="4" t="s">
        <v>63</v>
      </c>
      <c r="F170" s="4" t="s">
        <v>23</v>
      </c>
      <c r="G170" t="s">
        <v>64</v>
      </c>
      <c r="H170" s="2">
        <v>2</v>
      </c>
      <c r="I170" s="2">
        <v>12</v>
      </c>
      <c r="J170">
        <v>20</v>
      </c>
      <c r="K170">
        <v>5</v>
      </c>
      <c r="L170">
        <v>12</v>
      </c>
      <c r="M170" t="s">
        <v>25</v>
      </c>
      <c r="N170" t="s">
        <v>44</v>
      </c>
      <c r="O170">
        <v>40</v>
      </c>
      <c r="P170" t="s">
        <v>52</v>
      </c>
      <c r="Q170" t="s">
        <v>28</v>
      </c>
      <c r="R170" t="s">
        <v>22</v>
      </c>
      <c r="S170" t="s">
        <v>424</v>
      </c>
      <c r="T170" s="1">
        <v>46849</v>
      </c>
      <c r="U170">
        <f t="shared" si="12"/>
        <v>40</v>
      </c>
      <c r="V170">
        <f t="shared" si="13"/>
        <v>24</v>
      </c>
      <c r="W170">
        <f t="shared" si="14"/>
        <v>16</v>
      </c>
      <c r="X170" s="5">
        <f t="shared" si="15"/>
        <v>0.4</v>
      </c>
      <c r="Y170">
        <f t="shared" si="16"/>
        <v>2025</v>
      </c>
      <c r="Z170">
        <f t="shared" si="17"/>
        <v>12</v>
      </c>
    </row>
    <row r="171" spans="1:26" x14ac:dyDescent="0.3">
      <c r="A171" s="2">
        <v>1360</v>
      </c>
      <c r="B171" s="3">
        <v>45704</v>
      </c>
      <c r="C171" s="4" t="s">
        <v>56</v>
      </c>
      <c r="D171" s="4" t="s">
        <v>57</v>
      </c>
      <c r="E171" s="4" t="s">
        <v>58</v>
      </c>
      <c r="F171" s="4" t="s">
        <v>23</v>
      </c>
      <c r="G171" t="s">
        <v>24</v>
      </c>
      <c r="H171" s="2">
        <v>2</v>
      </c>
      <c r="I171" s="2">
        <v>75</v>
      </c>
      <c r="J171">
        <v>100</v>
      </c>
      <c r="K171">
        <v>10</v>
      </c>
      <c r="L171">
        <v>12</v>
      </c>
      <c r="M171" t="s">
        <v>43</v>
      </c>
      <c r="N171" t="s">
        <v>26</v>
      </c>
      <c r="O171">
        <v>25</v>
      </c>
      <c r="P171" t="s">
        <v>45</v>
      </c>
      <c r="Q171" t="s">
        <v>28</v>
      </c>
      <c r="R171" t="s">
        <v>54</v>
      </c>
      <c r="S171" t="s">
        <v>430</v>
      </c>
      <c r="T171" s="1">
        <v>46330</v>
      </c>
      <c r="U171">
        <f t="shared" si="12"/>
        <v>200</v>
      </c>
      <c r="V171">
        <f t="shared" si="13"/>
        <v>150</v>
      </c>
      <c r="W171">
        <f t="shared" si="14"/>
        <v>50</v>
      </c>
      <c r="X171" s="5">
        <f t="shared" si="15"/>
        <v>0.25</v>
      </c>
      <c r="Y171">
        <f t="shared" si="16"/>
        <v>2025</v>
      </c>
      <c r="Z171">
        <f t="shared" si="17"/>
        <v>2</v>
      </c>
    </row>
    <row r="172" spans="1:26" x14ac:dyDescent="0.3">
      <c r="A172" s="2">
        <v>1362</v>
      </c>
      <c r="B172" s="3">
        <v>45804</v>
      </c>
      <c r="C172" s="4" t="s">
        <v>98</v>
      </c>
      <c r="D172" s="4" t="s">
        <v>41</v>
      </c>
      <c r="E172" s="4" t="s">
        <v>33</v>
      </c>
      <c r="F172" s="4" t="s">
        <v>23</v>
      </c>
      <c r="G172" t="s">
        <v>82</v>
      </c>
      <c r="H172" s="2">
        <v>2</v>
      </c>
      <c r="I172" s="2">
        <v>22</v>
      </c>
      <c r="J172">
        <v>32</v>
      </c>
      <c r="K172">
        <v>10</v>
      </c>
      <c r="L172">
        <v>12</v>
      </c>
      <c r="M172" t="s">
        <v>35</v>
      </c>
      <c r="N172" t="s">
        <v>44</v>
      </c>
      <c r="O172">
        <v>52</v>
      </c>
      <c r="P172" t="s">
        <v>45</v>
      </c>
      <c r="Q172" t="s">
        <v>28</v>
      </c>
      <c r="R172" t="s">
        <v>54</v>
      </c>
      <c r="S172" t="s">
        <v>432</v>
      </c>
      <c r="T172" s="1">
        <v>46430</v>
      </c>
      <c r="U172">
        <f t="shared" si="12"/>
        <v>64</v>
      </c>
      <c r="V172">
        <f t="shared" si="13"/>
        <v>44</v>
      </c>
      <c r="W172">
        <f t="shared" si="14"/>
        <v>20</v>
      </c>
      <c r="X172" s="5">
        <f t="shared" si="15"/>
        <v>0.3125</v>
      </c>
      <c r="Y172">
        <f t="shared" si="16"/>
        <v>2025</v>
      </c>
      <c r="Z172">
        <f t="shared" si="17"/>
        <v>5</v>
      </c>
    </row>
    <row r="173" spans="1:26" x14ac:dyDescent="0.3">
      <c r="A173" s="2">
        <v>1374</v>
      </c>
      <c r="B173" s="3">
        <v>45983</v>
      </c>
      <c r="C173" s="4" t="s">
        <v>98</v>
      </c>
      <c r="D173" s="4" t="s">
        <v>41</v>
      </c>
      <c r="E173" s="4" t="s">
        <v>33</v>
      </c>
      <c r="F173" s="4" t="s">
        <v>23</v>
      </c>
      <c r="G173" t="s">
        <v>82</v>
      </c>
      <c r="H173" s="2">
        <v>2</v>
      </c>
      <c r="I173" s="2">
        <v>22</v>
      </c>
      <c r="J173">
        <v>32</v>
      </c>
      <c r="K173">
        <v>10</v>
      </c>
      <c r="L173">
        <v>12</v>
      </c>
      <c r="M173" t="s">
        <v>25</v>
      </c>
      <c r="N173" t="s">
        <v>26</v>
      </c>
      <c r="O173">
        <v>57</v>
      </c>
      <c r="P173" t="s">
        <v>52</v>
      </c>
      <c r="Q173" t="s">
        <v>53</v>
      </c>
      <c r="R173" t="s">
        <v>86</v>
      </c>
      <c r="S173" t="s">
        <v>444</v>
      </c>
      <c r="T173" s="1">
        <v>46796</v>
      </c>
      <c r="U173">
        <f t="shared" si="12"/>
        <v>64</v>
      </c>
      <c r="V173">
        <f t="shared" si="13"/>
        <v>44</v>
      </c>
      <c r="W173">
        <f t="shared" si="14"/>
        <v>20</v>
      </c>
      <c r="X173" s="5">
        <f t="shared" si="15"/>
        <v>0.3125</v>
      </c>
      <c r="Y173">
        <f t="shared" si="16"/>
        <v>2025</v>
      </c>
      <c r="Z173">
        <f t="shared" si="17"/>
        <v>11</v>
      </c>
    </row>
    <row r="174" spans="1:26" x14ac:dyDescent="0.3">
      <c r="A174" s="2">
        <v>1390</v>
      </c>
      <c r="B174" s="3">
        <v>45681</v>
      </c>
      <c r="C174" s="4" t="s">
        <v>79</v>
      </c>
      <c r="D174" s="4" t="s">
        <v>80</v>
      </c>
      <c r="E174" s="4" t="s">
        <v>81</v>
      </c>
      <c r="F174" s="4" t="s">
        <v>23</v>
      </c>
      <c r="G174" t="s">
        <v>82</v>
      </c>
      <c r="H174" s="2">
        <v>2</v>
      </c>
      <c r="I174" s="2">
        <v>80</v>
      </c>
      <c r="J174">
        <v>110</v>
      </c>
      <c r="K174">
        <v>5</v>
      </c>
      <c r="L174">
        <v>12</v>
      </c>
      <c r="M174" t="s">
        <v>43</v>
      </c>
      <c r="N174" t="s">
        <v>44</v>
      </c>
      <c r="O174">
        <v>75</v>
      </c>
      <c r="P174" t="s">
        <v>52</v>
      </c>
      <c r="Q174" t="s">
        <v>59</v>
      </c>
      <c r="R174" t="s">
        <v>86</v>
      </c>
      <c r="S174" t="s">
        <v>459</v>
      </c>
      <c r="T174" s="1">
        <v>46212</v>
      </c>
      <c r="U174">
        <f t="shared" si="12"/>
        <v>220</v>
      </c>
      <c r="V174">
        <f t="shared" si="13"/>
        <v>160</v>
      </c>
      <c r="W174">
        <f t="shared" si="14"/>
        <v>60</v>
      </c>
      <c r="X174" s="5">
        <f t="shared" si="15"/>
        <v>0.27272727272727271</v>
      </c>
      <c r="Y174">
        <f t="shared" si="16"/>
        <v>2025</v>
      </c>
      <c r="Z174">
        <f t="shared" si="17"/>
        <v>1</v>
      </c>
    </row>
    <row r="175" spans="1:26" x14ac:dyDescent="0.3">
      <c r="A175" s="2">
        <v>1404</v>
      </c>
      <c r="B175" s="3">
        <v>45794</v>
      </c>
      <c r="C175" s="4" t="s">
        <v>47</v>
      </c>
      <c r="D175" s="4" t="s">
        <v>48</v>
      </c>
      <c r="E175" s="4" t="s">
        <v>49</v>
      </c>
      <c r="F175" s="4" t="s">
        <v>50</v>
      </c>
      <c r="G175" t="s">
        <v>51</v>
      </c>
      <c r="H175" s="2">
        <v>2</v>
      </c>
      <c r="I175" s="2">
        <v>35</v>
      </c>
      <c r="J175">
        <v>50</v>
      </c>
      <c r="K175">
        <v>10</v>
      </c>
      <c r="L175">
        <v>12</v>
      </c>
      <c r="M175" t="s">
        <v>43</v>
      </c>
      <c r="N175" t="s">
        <v>26</v>
      </c>
      <c r="O175">
        <v>55</v>
      </c>
      <c r="P175" t="s">
        <v>27</v>
      </c>
      <c r="Q175" t="s">
        <v>66</v>
      </c>
      <c r="R175" t="s">
        <v>86</v>
      </c>
      <c r="S175" t="s">
        <v>473</v>
      </c>
      <c r="T175" s="1">
        <v>46458</v>
      </c>
      <c r="U175">
        <f t="shared" si="12"/>
        <v>100</v>
      </c>
      <c r="V175">
        <f t="shared" si="13"/>
        <v>70</v>
      </c>
      <c r="W175">
        <f t="shared" si="14"/>
        <v>30</v>
      </c>
      <c r="X175" s="5">
        <f t="shared" si="15"/>
        <v>0.3</v>
      </c>
      <c r="Y175">
        <f t="shared" si="16"/>
        <v>2025</v>
      </c>
      <c r="Z175">
        <f t="shared" si="17"/>
        <v>5</v>
      </c>
    </row>
    <row r="176" spans="1:26" x14ac:dyDescent="0.3">
      <c r="A176" s="2">
        <v>1406</v>
      </c>
      <c r="B176" s="3">
        <v>45664</v>
      </c>
      <c r="C176" s="4" t="s">
        <v>105</v>
      </c>
      <c r="D176" s="4" t="s">
        <v>106</v>
      </c>
      <c r="E176" s="4" t="s">
        <v>22</v>
      </c>
      <c r="F176" s="4" t="s">
        <v>23</v>
      </c>
      <c r="G176" t="s">
        <v>51</v>
      </c>
      <c r="H176" s="2">
        <v>2</v>
      </c>
      <c r="I176" s="2">
        <v>95</v>
      </c>
      <c r="J176">
        <v>125</v>
      </c>
      <c r="K176">
        <v>5</v>
      </c>
      <c r="L176">
        <v>12</v>
      </c>
      <c r="M176" t="s">
        <v>43</v>
      </c>
      <c r="N176" t="s">
        <v>26</v>
      </c>
      <c r="O176">
        <v>71</v>
      </c>
      <c r="P176" t="s">
        <v>27</v>
      </c>
      <c r="Q176" t="s">
        <v>66</v>
      </c>
      <c r="R176" t="s">
        <v>29</v>
      </c>
      <c r="S176" t="s">
        <v>475</v>
      </c>
      <c r="T176" s="1">
        <v>46113</v>
      </c>
      <c r="U176">
        <f t="shared" si="12"/>
        <v>250</v>
      </c>
      <c r="V176">
        <f t="shared" si="13"/>
        <v>190</v>
      </c>
      <c r="W176">
        <f t="shared" si="14"/>
        <v>60</v>
      </c>
      <c r="X176" s="5">
        <f t="shared" si="15"/>
        <v>0.24</v>
      </c>
      <c r="Y176">
        <f t="shared" si="16"/>
        <v>2025</v>
      </c>
      <c r="Z176">
        <f t="shared" si="17"/>
        <v>1</v>
      </c>
    </row>
    <row r="177" spans="1:26" x14ac:dyDescent="0.3">
      <c r="A177" s="2">
        <v>1419</v>
      </c>
      <c r="B177" s="3">
        <v>45945</v>
      </c>
      <c r="C177" s="4" t="s">
        <v>98</v>
      </c>
      <c r="D177" s="4" t="s">
        <v>41</v>
      </c>
      <c r="E177" s="4" t="s">
        <v>33</v>
      </c>
      <c r="F177" s="4" t="s">
        <v>23</v>
      </c>
      <c r="G177" t="s">
        <v>82</v>
      </c>
      <c r="H177" s="2">
        <v>2</v>
      </c>
      <c r="I177" s="2">
        <v>22</v>
      </c>
      <c r="J177">
        <v>32</v>
      </c>
      <c r="K177">
        <v>0</v>
      </c>
      <c r="L177">
        <v>12</v>
      </c>
      <c r="M177" t="s">
        <v>25</v>
      </c>
      <c r="N177" t="s">
        <v>44</v>
      </c>
      <c r="O177">
        <v>39</v>
      </c>
      <c r="P177" t="s">
        <v>52</v>
      </c>
      <c r="Q177" t="s">
        <v>66</v>
      </c>
      <c r="R177" t="s">
        <v>22</v>
      </c>
      <c r="S177" t="s">
        <v>487</v>
      </c>
      <c r="T177" s="1">
        <v>46707</v>
      </c>
      <c r="U177">
        <f t="shared" si="12"/>
        <v>64</v>
      </c>
      <c r="V177">
        <f t="shared" si="13"/>
        <v>44</v>
      </c>
      <c r="W177">
        <f t="shared" si="14"/>
        <v>20</v>
      </c>
      <c r="X177" s="5">
        <f t="shared" si="15"/>
        <v>0.3125</v>
      </c>
      <c r="Y177">
        <f t="shared" si="16"/>
        <v>2025</v>
      </c>
      <c r="Z177">
        <f t="shared" si="17"/>
        <v>10</v>
      </c>
    </row>
    <row r="178" spans="1:26" x14ac:dyDescent="0.3">
      <c r="A178" s="2">
        <v>1420</v>
      </c>
      <c r="B178" s="3">
        <v>45902</v>
      </c>
      <c r="C178" s="4" t="s">
        <v>79</v>
      </c>
      <c r="D178" s="4" t="s">
        <v>80</v>
      </c>
      <c r="E178" s="4" t="s">
        <v>81</v>
      </c>
      <c r="F178" s="4" t="s">
        <v>23</v>
      </c>
      <c r="G178" t="s">
        <v>82</v>
      </c>
      <c r="H178" s="2">
        <v>2</v>
      </c>
      <c r="I178" s="2">
        <v>80</v>
      </c>
      <c r="J178">
        <v>110</v>
      </c>
      <c r="K178">
        <v>10</v>
      </c>
      <c r="L178">
        <v>12</v>
      </c>
      <c r="M178" t="s">
        <v>43</v>
      </c>
      <c r="N178" t="s">
        <v>26</v>
      </c>
      <c r="O178">
        <v>73</v>
      </c>
      <c r="P178" t="s">
        <v>45</v>
      </c>
      <c r="Q178" t="s">
        <v>66</v>
      </c>
      <c r="R178" t="s">
        <v>86</v>
      </c>
      <c r="S178" t="s">
        <v>488</v>
      </c>
      <c r="T178" s="1">
        <v>46449</v>
      </c>
      <c r="U178">
        <f t="shared" si="12"/>
        <v>220</v>
      </c>
      <c r="V178">
        <f t="shared" si="13"/>
        <v>160</v>
      </c>
      <c r="W178">
        <f t="shared" si="14"/>
        <v>60</v>
      </c>
      <c r="X178" s="5">
        <f t="shared" si="15"/>
        <v>0.27272727272727271</v>
      </c>
      <c r="Y178">
        <f t="shared" si="16"/>
        <v>2025</v>
      </c>
      <c r="Z178">
        <f t="shared" si="17"/>
        <v>9</v>
      </c>
    </row>
    <row r="179" spans="1:26" x14ac:dyDescent="0.3">
      <c r="A179" s="2">
        <v>1426</v>
      </c>
      <c r="B179" s="3">
        <v>45767</v>
      </c>
      <c r="C179" s="4" t="s">
        <v>98</v>
      </c>
      <c r="D179" s="4" t="s">
        <v>41</v>
      </c>
      <c r="E179" s="4" t="s">
        <v>33</v>
      </c>
      <c r="F179" s="4" t="s">
        <v>23</v>
      </c>
      <c r="G179" t="s">
        <v>82</v>
      </c>
      <c r="H179" s="2">
        <v>2</v>
      </c>
      <c r="I179" s="2">
        <v>22</v>
      </c>
      <c r="J179">
        <v>32</v>
      </c>
      <c r="K179">
        <v>10</v>
      </c>
      <c r="L179">
        <v>12</v>
      </c>
      <c r="M179" t="s">
        <v>43</v>
      </c>
      <c r="N179" t="s">
        <v>44</v>
      </c>
      <c r="O179">
        <v>20</v>
      </c>
      <c r="P179" t="s">
        <v>52</v>
      </c>
      <c r="Q179" t="s">
        <v>66</v>
      </c>
      <c r="R179" t="s">
        <v>54</v>
      </c>
      <c r="S179" t="s">
        <v>494</v>
      </c>
      <c r="T179" s="1">
        <v>46155</v>
      </c>
      <c r="U179">
        <f t="shared" si="12"/>
        <v>64</v>
      </c>
      <c r="V179">
        <f t="shared" si="13"/>
        <v>44</v>
      </c>
      <c r="W179">
        <f t="shared" si="14"/>
        <v>20</v>
      </c>
      <c r="X179" s="5">
        <f t="shared" si="15"/>
        <v>0.3125</v>
      </c>
      <c r="Y179">
        <f t="shared" si="16"/>
        <v>2025</v>
      </c>
      <c r="Z179">
        <f t="shared" si="17"/>
        <v>4</v>
      </c>
    </row>
    <row r="180" spans="1:26" x14ac:dyDescent="0.3">
      <c r="A180" s="2">
        <v>1427</v>
      </c>
      <c r="B180" s="3">
        <v>45701</v>
      </c>
      <c r="C180" s="4" t="s">
        <v>79</v>
      </c>
      <c r="D180" s="4" t="s">
        <v>80</v>
      </c>
      <c r="E180" s="4" t="s">
        <v>81</v>
      </c>
      <c r="F180" s="4" t="s">
        <v>23</v>
      </c>
      <c r="G180" t="s">
        <v>82</v>
      </c>
      <c r="H180" s="2">
        <v>2</v>
      </c>
      <c r="I180" s="2">
        <v>80</v>
      </c>
      <c r="J180">
        <v>110</v>
      </c>
      <c r="K180">
        <v>10</v>
      </c>
      <c r="L180">
        <v>12</v>
      </c>
      <c r="M180" t="s">
        <v>25</v>
      </c>
      <c r="N180" t="s">
        <v>44</v>
      </c>
      <c r="O180">
        <v>45</v>
      </c>
      <c r="P180" t="s">
        <v>27</v>
      </c>
      <c r="Q180" t="s">
        <v>37</v>
      </c>
      <c r="R180" t="s">
        <v>38</v>
      </c>
      <c r="S180" t="s">
        <v>495</v>
      </c>
      <c r="T180" s="1">
        <v>46410</v>
      </c>
      <c r="U180">
        <f t="shared" si="12"/>
        <v>220</v>
      </c>
      <c r="V180">
        <f t="shared" si="13"/>
        <v>160</v>
      </c>
      <c r="W180">
        <f t="shared" si="14"/>
        <v>60</v>
      </c>
      <c r="X180" s="5">
        <f t="shared" si="15"/>
        <v>0.27272727272727271</v>
      </c>
      <c r="Y180">
        <f t="shared" si="16"/>
        <v>2025</v>
      </c>
      <c r="Z180">
        <f t="shared" si="17"/>
        <v>2</v>
      </c>
    </row>
    <row r="181" spans="1:26" x14ac:dyDescent="0.3">
      <c r="A181" s="2">
        <v>1434</v>
      </c>
      <c r="B181" s="3">
        <v>46000</v>
      </c>
      <c r="C181" s="4" t="s">
        <v>20</v>
      </c>
      <c r="D181" s="4" t="s">
        <v>21</v>
      </c>
      <c r="E181" s="4" t="s">
        <v>22</v>
      </c>
      <c r="F181" s="4" t="s">
        <v>23</v>
      </c>
      <c r="G181" t="s">
        <v>24</v>
      </c>
      <c r="H181" s="2">
        <v>2</v>
      </c>
      <c r="I181" s="2">
        <v>60</v>
      </c>
      <c r="J181">
        <v>85</v>
      </c>
      <c r="K181">
        <v>0</v>
      </c>
      <c r="L181">
        <v>12</v>
      </c>
      <c r="M181" t="s">
        <v>25</v>
      </c>
      <c r="N181" t="s">
        <v>44</v>
      </c>
      <c r="O181">
        <v>48</v>
      </c>
      <c r="P181" t="s">
        <v>36</v>
      </c>
      <c r="Q181" t="s">
        <v>37</v>
      </c>
      <c r="R181" t="s">
        <v>29</v>
      </c>
      <c r="S181" t="s">
        <v>502</v>
      </c>
      <c r="T181" s="1">
        <v>46555</v>
      </c>
      <c r="U181">
        <f t="shared" si="12"/>
        <v>170</v>
      </c>
      <c r="V181">
        <f t="shared" si="13"/>
        <v>120</v>
      </c>
      <c r="W181">
        <f t="shared" si="14"/>
        <v>50</v>
      </c>
      <c r="X181" s="5">
        <f t="shared" si="15"/>
        <v>0.29411764705882354</v>
      </c>
      <c r="Y181">
        <f t="shared" si="16"/>
        <v>2025</v>
      </c>
      <c r="Z181">
        <f t="shared" si="17"/>
        <v>12</v>
      </c>
    </row>
    <row r="182" spans="1:26" x14ac:dyDescent="0.3">
      <c r="A182" s="2">
        <v>1436</v>
      </c>
      <c r="B182" s="3">
        <v>45967</v>
      </c>
      <c r="C182" s="4" t="s">
        <v>56</v>
      </c>
      <c r="D182" s="4" t="s">
        <v>57</v>
      </c>
      <c r="E182" s="4" t="s">
        <v>58</v>
      </c>
      <c r="F182" s="4" t="s">
        <v>23</v>
      </c>
      <c r="G182" t="s">
        <v>24</v>
      </c>
      <c r="H182" s="2">
        <v>2</v>
      </c>
      <c r="I182" s="2">
        <v>75</v>
      </c>
      <c r="J182">
        <v>100</v>
      </c>
      <c r="K182">
        <v>5</v>
      </c>
      <c r="L182">
        <v>12</v>
      </c>
      <c r="M182" t="s">
        <v>25</v>
      </c>
      <c r="N182" t="s">
        <v>44</v>
      </c>
      <c r="O182">
        <v>43</v>
      </c>
      <c r="P182" t="s">
        <v>36</v>
      </c>
      <c r="Q182" t="s">
        <v>66</v>
      </c>
      <c r="R182" t="s">
        <v>22</v>
      </c>
      <c r="S182" t="s">
        <v>504</v>
      </c>
      <c r="T182" s="1">
        <v>46623</v>
      </c>
      <c r="U182">
        <f t="shared" si="12"/>
        <v>200</v>
      </c>
      <c r="V182">
        <f t="shared" si="13"/>
        <v>150</v>
      </c>
      <c r="W182">
        <f t="shared" si="14"/>
        <v>50</v>
      </c>
      <c r="X182" s="5">
        <f t="shared" si="15"/>
        <v>0.25</v>
      </c>
      <c r="Y182">
        <f t="shared" si="16"/>
        <v>2025</v>
      </c>
      <c r="Z182">
        <f t="shared" si="17"/>
        <v>11</v>
      </c>
    </row>
    <row r="183" spans="1:26" x14ac:dyDescent="0.3">
      <c r="A183" s="2">
        <v>1438</v>
      </c>
      <c r="B183" s="3">
        <v>45993</v>
      </c>
      <c r="C183" s="4" t="s">
        <v>84</v>
      </c>
      <c r="D183" s="4" t="s">
        <v>85</v>
      </c>
      <c r="E183" s="4" t="s">
        <v>63</v>
      </c>
      <c r="F183" s="4" t="s">
        <v>23</v>
      </c>
      <c r="G183" t="s">
        <v>82</v>
      </c>
      <c r="H183" s="2">
        <v>2</v>
      </c>
      <c r="I183" s="2">
        <v>45</v>
      </c>
      <c r="J183">
        <v>65</v>
      </c>
      <c r="K183">
        <v>10</v>
      </c>
      <c r="L183">
        <v>12</v>
      </c>
      <c r="M183" t="s">
        <v>25</v>
      </c>
      <c r="N183" t="s">
        <v>44</v>
      </c>
      <c r="O183">
        <v>28</v>
      </c>
      <c r="P183" t="s">
        <v>27</v>
      </c>
      <c r="Q183" t="s">
        <v>37</v>
      </c>
      <c r="R183" t="s">
        <v>86</v>
      </c>
      <c r="S183" t="s">
        <v>506</v>
      </c>
      <c r="T183" s="1">
        <v>46491</v>
      </c>
      <c r="U183">
        <f t="shared" si="12"/>
        <v>130</v>
      </c>
      <c r="V183">
        <f t="shared" si="13"/>
        <v>90</v>
      </c>
      <c r="W183">
        <f t="shared" si="14"/>
        <v>40</v>
      </c>
      <c r="X183" s="5">
        <f t="shared" si="15"/>
        <v>0.30769230769230771</v>
      </c>
      <c r="Y183">
        <f t="shared" si="16"/>
        <v>2025</v>
      </c>
      <c r="Z183">
        <f t="shared" si="17"/>
        <v>12</v>
      </c>
    </row>
    <row r="184" spans="1:26" x14ac:dyDescent="0.3">
      <c r="A184" s="2">
        <v>1440</v>
      </c>
      <c r="B184" s="3">
        <v>45897</v>
      </c>
      <c r="C184" s="4" t="s">
        <v>47</v>
      </c>
      <c r="D184" s="4" t="s">
        <v>48</v>
      </c>
      <c r="E184" s="4" t="s">
        <v>49</v>
      </c>
      <c r="F184" s="4" t="s">
        <v>50</v>
      </c>
      <c r="G184" t="s">
        <v>51</v>
      </c>
      <c r="H184" s="2">
        <v>2</v>
      </c>
      <c r="I184" s="2">
        <v>35</v>
      </c>
      <c r="J184">
        <v>50</v>
      </c>
      <c r="K184">
        <v>0</v>
      </c>
      <c r="L184">
        <v>12</v>
      </c>
      <c r="M184" t="s">
        <v>35</v>
      </c>
      <c r="N184" t="s">
        <v>44</v>
      </c>
      <c r="O184">
        <v>74</v>
      </c>
      <c r="P184" t="s">
        <v>36</v>
      </c>
      <c r="Q184" t="s">
        <v>59</v>
      </c>
      <c r="R184" t="s">
        <v>29</v>
      </c>
      <c r="S184" t="s">
        <v>508</v>
      </c>
      <c r="T184" s="1">
        <v>46669</v>
      </c>
      <c r="U184">
        <f t="shared" si="12"/>
        <v>100</v>
      </c>
      <c r="V184">
        <f t="shared" si="13"/>
        <v>70</v>
      </c>
      <c r="W184">
        <f t="shared" si="14"/>
        <v>30</v>
      </c>
      <c r="X184" s="5">
        <f t="shared" si="15"/>
        <v>0.3</v>
      </c>
      <c r="Y184">
        <f t="shared" si="16"/>
        <v>2025</v>
      </c>
      <c r="Z184">
        <f t="shared" si="17"/>
        <v>8</v>
      </c>
    </row>
    <row r="185" spans="1:26" x14ac:dyDescent="0.3">
      <c r="A185" s="2">
        <v>1441</v>
      </c>
      <c r="B185" s="3">
        <v>45740</v>
      </c>
      <c r="C185" s="4" t="s">
        <v>79</v>
      </c>
      <c r="D185" s="4" t="s">
        <v>80</v>
      </c>
      <c r="E185" s="4" t="s">
        <v>81</v>
      </c>
      <c r="F185" s="4" t="s">
        <v>23</v>
      </c>
      <c r="G185" t="s">
        <v>82</v>
      </c>
      <c r="H185" s="2">
        <v>2</v>
      </c>
      <c r="I185" s="2">
        <v>80</v>
      </c>
      <c r="J185">
        <v>110</v>
      </c>
      <c r="K185">
        <v>5</v>
      </c>
      <c r="L185">
        <v>12</v>
      </c>
      <c r="M185" t="s">
        <v>25</v>
      </c>
      <c r="N185" t="s">
        <v>44</v>
      </c>
      <c r="O185">
        <v>43</v>
      </c>
      <c r="P185" t="s">
        <v>27</v>
      </c>
      <c r="Q185" t="s">
        <v>53</v>
      </c>
      <c r="R185" t="s">
        <v>29</v>
      </c>
      <c r="S185" t="s">
        <v>509</v>
      </c>
      <c r="T185" s="1">
        <v>46559</v>
      </c>
      <c r="U185">
        <f t="shared" si="12"/>
        <v>220</v>
      </c>
      <c r="V185">
        <f t="shared" si="13"/>
        <v>160</v>
      </c>
      <c r="W185">
        <f t="shared" si="14"/>
        <v>60</v>
      </c>
      <c r="X185" s="5">
        <f t="shared" si="15"/>
        <v>0.27272727272727271</v>
      </c>
      <c r="Y185">
        <f t="shared" si="16"/>
        <v>2025</v>
      </c>
      <c r="Z185">
        <f t="shared" si="17"/>
        <v>3</v>
      </c>
    </row>
    <row r="186" spans="1:26" x14ac:dyDescent="0.3">
      <c r="A186" s="2">
        <v>1445</v>
      </c>
      <c r="B186" s="3">
        <v>45813</v>
      </c>
      <c r="C186" s="4" t="s">
        <v>69</v>
      </c>
      <c r="D186" s="4" t="s">
        <v>48</v>
      </c>
      <c r="E186" s="4" t="s">
        <v>70</v>
      </c>
      <c r="F186" s="4" t="s">
        <v>50</v>
      </c>
      <c r="G186" t="s">
        <v>71</v>
      </c>
      <c r="H186" s="2">
        <v>2</v>
      </c>
      <c r="I186" s="2">
        <v>25</v>
      </c>
      <c r="J186">
        <v>38</v>
      </c>
      <c r="K186">
        <v>10</v>
      </c>
      <c r="L186">
        <v>12</v>
      </c>
      <c r="M186" t="s">
        <v>25</v>
      </c>
      <c r="N186" t="s">
        <v>26</v>
      </c>
      <c r="O186">
        <v>58</v>
      </c>
      <c r="P186" t="s">
        <v>27</v>
      </c>
      <c r="Q186" t="s">
        <v>28</v>
      </c>
      <c r="R186" t="s">
        <v>29</v>
      </c>
      <c r="S186" t="s">
        <v>513</v>
      </c>
      <c r="T186" s="1">
        <v>46497</v>
      </c>
      <c r="U186">
        <f t="shared" si="12"/>
        <v>76</v>
      </c>
      <c r="V186">
        <f t="shared" si="13"/>
        <v>50</v>
      </c>
      <c r="W186">
        <f t="shared" si="14"/>
        <v>26</v>
      </c>
      <c r="X186" s="5">
        <f t="shared" si="15"/>
        <v>0.34210526315789475</v>
      </c>
      <c r="Y186">
        <f t="shared" si="16"/>
        <v>2025</v>
      </c>
      <c r="Z186">
        <f t="shared" si="17"/>
        <v>6</v>
      </c>
    </row>
    <row r="187" spans="1:26" x14ac:dyDescent="0.3">
      <c r="A187" s="2">
        <v>1450</v>
      </c>
      <c r="B187" s="3">
        <v>45860</v>
      </c>
      <c r="C187" s="4" t="s">
        <v>92</v>
      </c>
      <c r="D187" s="4" t="s">
        <v>48</v>
      </c>
      <c r="E187" s="4" t="s">
        <v>54</v>
      </c>
      <c r="F187" s="4" t="s">
        <v>23</v>
      </c>
      <c r="G187" t="s">
        <v>82</v>
      </c>
      <c r="H187" s="2">
        <v>2</v>
      </c>
      <c r="I187" s="2">
        <v>18</v>
      </c>
      <c r="J187">
        <v>28</v>
      </c>
      <c r="K187">
        <v>10</v>
      </c>
      <c r="L187">
        <v>12</v>
      </c>
      <c r="M187" t="s">
        <v>43</v>
      </c>
      <c r="N187" t="s">
        <v>44</v>
      </c>
      <c r="O187">
        <v>38</v>
      </c>
      <c r="P187" t="s">
        <v>45</v>
      </c>
      <c r="Q187" t="s">
        <v>66</v>
      </c>
      <c r="R187" t="s">
        <v>86</v>
      </c>
      <c r="S187" t="s">
        <v>518</v>
      </c>
      <c r="T187" s="1">
        <v>46604</v>
      </c>
      <c r="U187">
        <f t="shared" si="12"/>
        <v>56</v>
      </c>
      <c r="V187">
        <f t="shared" si="13"/>
        <v>36</v>
      </c>
      <c r="W187">
        <f t="shared" si="14"/>
        <v>20</v>
      </c>
      <c r="X187" s="5">
        <f t="shared" si="15"/>
        <v>0.35714285714285715</v>
      </c>
      <c r="Y187">
        <f t="shared" si="16"/>
        <v>2025</v>
      </c>
      <c r="Z187">
        <f t="shared" si="17"/>
        <v>7</v>
      </c>
    </row>
    <row r="188" spans="1:26" x14ac:dyDescent="0.3">
      <c r="A188" s="2">
        <v>1459</v>
      </c>
      <c r="B188" s="3">
        <v>45756</v>
      </c>
      <c r="C188" s="4" t="s">
        <v>69</v>
      </c>
      <c r="D188" s="4" t="s">
        <v>48</v>
      </c>
      <c r="E188" s="4" t="s">
        <v>70</v>
      </c>
      <c r="F188" s="4" t="s">
        <v>50</v>
      </c>
      <c r="G188" t="s">
        <v>71</v>
      </c>
      <c r="H188" s="2">
        <v>2</v>
      </c>
      <c r="I188" s="2">
        <v>25</v>
      </c>
      <c r="J188">
        <v>38</v>
      </c>
      <c r="K188">
        <v>10</v>
      </c>
      <c r="L188">
        <v>12</v>
      </c>
      <c r="M188" t="s">
        <v>35</v>
      </c>
      <c r="N188" t="s">
        <v>44</v>
      </c>
      <c r="O188">
        <v>71</v>
      </c>
      <c r="P188" t="s">
        <v>27</v>
      </c>
      <c r="Q188" t="s">
        <v>37</v>
      </c>
      <c r="R188" t="s">
        <v>29</v>
      </c>
      <c r="S188" t="s">
        <v>527</v>
      </c>
      <c r="T188" s="1">
        <v>46331</v>
      </c>
      <c r="U188">
        <f t="shared" si="12"/>
        <v>76</v>
      </c>
      <c r="V188">
        <f t="shared" si="13"/>
        <v>50</v>
      </c>
      <c r="W188">
        <f t="shared" si="14"/>
        <v>26</v>
      </c>
      <c r="X188" s="5">
        <f t="shared" si="15"/>
        <v>0.34210526315789475</v>
      </c>
      <c r="Y188">
        <f t="shared" si="16"/>
        <v>2025</v>
      </c>
      <c r="Z188">
        <f t="shared" si="17"/>
        <v>4</v>
      </c>
    </row>
    <row r="189" spans="1:26" x14ac:dyDescent="0.3">
      <c r="A189" s="2">
        <v>1460</v>
      </c>
      <c r="B189" s="3">
        <v>45734</v>
      </c>
      <c r="C189" s="4" t="s">
        <v>56</v>
      </c>
      <c r="D189" s="4" t="s">
        <v>57</v>
      </c>
      <c r="E189" s="4" t="s">
        <v>58</v>
      </c>
      <c r="F189" s="4" t="s">
        <v>23</v>
      </c>
      <c r="G189" t="s">
        <v>24</v>
      </c>
      <c r="H189" s="2">
        <v>2</v>
      </c>
      <c r="I189" s="2">
        <v>75</v>
      </c>
      <c r="J189">
        <v>100</v>
      </c>
      <c r="K189">
        <v>5</v>
      </c>
      <c r="L189">
        <v>12</v>
      </c>
      <c r="M189" t="s">
        <v>35</v>
      </c>
      <c r="N189" t="s">
        <v>26</v>
      </c>
      <c r="O189">
        <v>22</v>
      </c>
      <c r="P189" t="s">
        <v>45</v>
      </c>
      <c r="Q189" t="s">
        <v>37</v>
      </c>
      <c r="R189" t="s">
        <v>86</v>
      </c>
      <c r="S189" t="s">
        <v>528</v>
      </c>
      <c r="T189" s="1">
        <v>46000</v>
      </c>
      <c r="U189">
        <f t="shared" si="12"/>
        <v>200</v>
      </c>
      <c r="V189">
        <f t="shared" si="13"/>
        <v>150</v>
      </c>
      <c r="W189">
        <f t="shared" si="14"/>
        <v>50</v>
      </c>
      <c r="X189" s="5">
        <f t="shared" si="15"/>
        <v>0.25</v>
      </c>
      <c r="Y189">
        <f t="shared" si="16"/>
        <v>2025</v>
      </c>
      <c r="Z189">
        <f t="shared" si="17"/>
        <v>3</v>
      </c>
    </row>
    <row r="190" spans="1:26" x14ac:dyDescent="0.3">
      <c r="A190" s="2">
        <v>1463</v>
      </c>
      <c r="B190" s="3">
        <v>45704</v>
      </c>
      <c r="C190" s="4" t="s">
        <v>105</v>
      </c>
      <c r="D190" s="4" t="s">
        <v>106</v>
      </c>
      <c r="E190" s="4" t="s">
        <v>22</v>
      </c>
      <c r="F190" s="4" t="s">
        <v>23</v>
      </c>
      <c r="G190" t="s">
        <v>51</v>
      </c>
      <c r="H190" s="2">
        <v>2</v>
      </c>
      <c r="I190" s="2">
        <v>95</v>
      </c>
      <c r="J190">
        <v>125</v>
      </c>
      <c r="K190">
        <v>5</v>
      </c>
      <c r="L190">
        <v>12</v>
      </c>
      <c r="M190" t="s">
        <v>43</v>
      </c>
      <c r="N190" t="s">
        <v>44</v>
      </c>
      <c r="O190">
        <v>18</v>
      </c>
      <c r="P190" t="s">
        <v>45</v>
      </c>
      <c r="Q190" t="s">
        <v>37</v>
      </c>
      <c r="R190" t="s">
        <v>22</v>
      </c>
      <c r="S190" t="s">
        <v>531</v>
      </c>
      <c r="T190" s="1">
        <v>46361</v>
      </c>
      <c r="U190">
        <f t="shared" si="12"/>
        <v>250</v>
      </c>
      <c r="V190">
        <f t="shared" si="13"/>
        <v>190</v>
      </c>
      <c r="W190">
        <f t="shared" si="14"/>
        <v>60</v>
      </c>
      <c r="X190" s="5">
        <f t="shared" si="15"/>
        <v>0.24</v>
      </c>
      <c r="Y190">
        <f t="shared" si="16"/>
        <v>2025</v>
      </c>
      <c r="Z190">
        <f t="shared" si="17"/>
        <v>2</v>
      </c>
    </row>
    <row r="191" spans="1:26" x14ac:dyDescent="0.3">
      <c r="A191" s="2">
        <v>1464</v>
      </c>
      <c r="B191" s="3">
        <v>45874</v>
      </c>
      <c r="C191" s="4" t="s">
        <v>108</v>
      </c>
      <c r="D191" s="4" t="s">
        <v>32</v>
      </c>
      <c r="E191" s="4" t="s">
        <v>109</v>
      </c>
      <c r="F191" s="4" t="s">
        <v>23</v>
      </c>
      <c r="G191" t="s">
        <v>82</v>
      </c>
      <c r="H191" s="2">
        <v>2</v>
      </c>
      <c r="I191" s="2">
        <v>90</v>
      </c>
      <c r="J191">
        <v>120</v>
      </c>
      <c r="K191">
        <v>10</v>
      </c>
      <c r="L191">
        <v>12</v>
      </c>
      <c r="M191" t="s">
        <v>35</v>
      </c>
      <c r="N191" t="s">
        <v>26</v>
      </c>
      <c r="O191">
        <v>31</v>
      </c>
      <c r="P191" t="s">
        <v>36</v>
      </c>
      <c r="Q191" t="s">
        <v>53</v>
      </c>
      <c r="R191" t="s">
        <v>38</v>
      </c>
      <c r="S191" t="s">
        <v>532</v>
      </c>
      <c r="T191" s="1">
        <v>46239</v>
      </c>
      <c r="U191">
        <f t="shared" si="12"/>
        <v>240</v>
      </c>
      <c r="V191">
        <f t="shared" si="13"/>
        <v>180</v>
      </c>
      <c r="W191">
        <f t="shared" si="14"/>
        <v>60</v>
      </c>
      <c r="X191" s="5">
        <f t="shared" si="15"/>
        <v>0.25</v>
      </c>
      <c r="Y191">
        <f t="shared" si="16"/>
        <v>2025</v>
      </c>
      <c r="Z191">
        <f t="shared" si="17"/>
        <v>8</v>
      </c>
    </row>
    <row r="192" spans="1:26" x14ac:dyDescent="0.3">
      <c r="A192" s="2">
        <v>1467</v>
      </c>
      <c r="B192" s="3">
        <v>45914</v>
      </c>
      <c r="C192" s="4" t="s">
        <v>31</v>
      </c>
      <c r="D192" s="4" t="s">
        <v>32</v>
      </c>
      <c r="E192" s="4" t="s">
        <v>33</v>
      </c>
      <c r="F192" s="4" t="s">
        <v>23</v>
      </c>
      <c r="G192" t="s">
        <v>34</v>
      </c>
      <c r="H192" s="2">
        <v>2</v>
      </c>
      <c r="I192" s="2">
        <v>140</v>
      </c>
      <c r="J192">
        <v>180</v>
      </c>
      <c r="K192">
        <v>5</v>
      </c>
      <c r="L192">
        <v>12</v>
      </c>
      <c r="M192" t="s">
        <v>25</v>
      </c>
      <c r="N192" t="s">
        <v>26</v>
      </c>
      <c r="O192">
        <v>46</v>
      </c>
      <c r="P192" t="s">
        <v>27</v>
      </c>
      <c r="Q192" t="s">
        <v>53</v>
      </c>
      <c r="R192" t="s">
        <v>54</v>
      </c>
      <c r="S192" t="s">
        <v>535</v>
      </c>
      <c r="T192" s="1">
        <v>46252</v>
      </c>
      <c r="U192">
        <f t="shared" si="12"/>
        <v>360</v>
      </c>
      <c r="V192">
        <f t="shared" si="13"/>
        <v>280</v>
      </c>
      <c r="W192">
        <f t="shared" si="14"/>
        <v>80</v>
      </c>
      <c r="X192" s="5">
        <f t="shared" si="15"/>
        <v>0.22222222222222221</v>
      </c>
      <c r="Y192">
        <f t="shared" si="16"/>
        <v>2025</v>
      </c>
      <c r="Z192">
        <f t="shared" si="17"/>
        <v>9</v>
      </c>
    </row>
    <row r="193" spans="1:26" x14ac:dyDescent="0.3">
      <c r="A193" s="2">
        <v>1483</v>
      </c>
      <c r="B193" s="3">
        <v>45840</v>
      </c>
      <c r="C193" s="4" t="s">
        <v>108</v>
      </c>
      <c r="D193" s="4" t="s">
        <v>32</v>
      </c>
      <c r="E193" s="4" t="s">
        <v>109</v>
      </c>
      <c r="F193" s="4" t="s">
        <v>23</v>
      </c>
      <c r="G193" t="s">
        <v>82</v>
      </c>
      <c r="H193" s="2">
        <v>2</v>
      </c>
      <c r="I193" s="2">
        <v>90</v>
      </c>
      <c r="J193">
        <v>120</v>
      </c>
      <c r="K193">
        <v>0</v>
      </c>
      <c r="L193">
        <v>12</v>
      </c>
      <c r="M193" t="s">
        <v>25</v>
      </c>
      <c r="N193" t="s">
        <v>26</v>
      </c>
      <c r="O193">
        <v>65</v>
      </c>
      <c r="P193" t="s">
        <v>45</v>
      </c>
      <c r="Q193" t="s">
        <v>28</v>
      </c>
      <c r="R193" t="s">
        <v>86</v>
      </c>
      <c r="S193" t="s">
        <v>550</v>
      </c>
      <c r="T193" s="1">
        <v>46634</v>
      </c>
      <c r="U193">
        <f t="shared" si="12"/>
        <v>240</v>
      </c>
      <c r="V193">
        <f t="shared" si="13"/>
        <v>180</v>
      </c>
      <c r="W193">
        <f t="shared" si="14"/>
        <v>60</v>
      </c>
      <c r="X193" s="5">
        <f t="shared" si="15"/>
        <v>0.25</v>
      </c>
      <c r="Y193">
        <f t="shared" si="16"/>
        <v>2025</v>
      </c>
      <c r="Z193">
        <f t="shared" si="17"/>
        <v>7</v>
      </c>
    </row>
    <row r="194" spans="1:26" x14ac:dyDescent="0.3">
      <c r="A194" s="2">
        <v>1485</v>
      </c>
      <c r="B194" s="3">
        <v>45722</v>
      </c>
      <c r="C194" s="4" t="s">
        <v>69</v>
      </c>
      <c r="D194" s="4" t="s">
        <v>48</v>
      </c>
      <c r="E194" s="4" t="s">
        <v>70</v>
      </c>
      <c r="F194" s="4" t="s">
        <v>50</v>
      </c>
      <c r="G194" t="s">
        <v>71</v>
      </c>
      <c r="H194" s="2">
        <v>2</v>
      </c>
      <c r="I194" s="2">
        <v>25</v>
      </c>
      <c r="J194">
        <v>38</v>
      </c>
      <c r="K194">
        <v>5</v>
      </c>
      <c r="L194">
        <v>12</v>
      </c>
      <c r="M194" t="s">
        <v>25</v>
      </c>
      <c r="N194" t="s">
        <v>44</v>
      </c>
      <c r="O194">
        <v>73</v>
      </c>
      <c r="P194" t="s">
        <v>45</v>
      </c>
      <c r="Q194" t="s">
        <v>37</v>
      </c>
      <c r="R194" t="s">
        <v>29</v>
      </c>
      <c r="S194" t="s">
        <v>552</v>
      </c>
      <c r="T194" s="1">
        <v>46018</v>
      </c>
      <c r="U194">
        <f t="shared" si="12"/>
        <v>76</v>
      </c>
      <c r="V194">
        <f t="shared" si="13"/>
        <v>50</v>
      </c>
      <c r="W194">
        <f t="shared" si="14"/>
        <v>26</v>
      </c>
      <c r="X194" s="5">
        <f t="shared" si="15"/>
        <v>0.34210526315789475</v>
      </c>
      <c r="Y194">
        <f t="shared" si="16"/>
        <v>2025</v>
      </c>
      <c r="Z194">
        <f t="shared" si="17"/>
        <v>3</v>
      </c>
    </row>
    <row r="195" spans="1:26" x14ac:dyDescent="0.3">
      <c r="A195" s="2">
        <v>1486</v>
      </c>
      <c r="B195" s="3">
        <v>45707</v>
      </c>
      <c r="C195" s="4" t="s">
        <v>92</v>
      </c>
      <c r="D195" s="4" t="s">
        <v>48</v>
      </c>
      <c r="E195" s="4" t="s">
        <v>54</v>
      </c>
      <c r="F195" s="4" t="s">
        <v>23</v>
      </c>
      <c r="G195" t="s">
        <v>82</v>
      </c>
      <c r="H195" s="2">
        <v>2</v>
      </c>
      <c r="I195" s="2">
        <v>18</v>
      </c>
      <c r="J195">
        <v>28</v>
      </c>
      <c r="K195">
        <v>0</v>
      </c>
      <c r="L195">
        <v>12</v>
      </c>
      <c r="M195" t="s">
        <v>43</v>
      </c>
      <c r="N195" t="s">
        <v>26</v>
      </c>
      <c r="O195">
        <v>27</v>
      </c>
      <c r="P195" t="s">
        <v>45</v>
      </c>
      <c r="Q195" t="s">
        <v>53</v>
      </c>
      <c r="R195" t="s">
        <v>86</v>
      </c>
      <c r="S195" t="s">
        <v>316</v>
      </c>
      <c r="T195" s="1">
        <v>46390</v>
      </c>
      <c r="U195">
        <f t="shared" ref="U195:U258" si="18">(H195*J195)</f>
        <v>56</v>
      </c>
      <c r="V195">
        <f t="shared" ref="V195:V258" si="19">(H195*I195)</f>
        <v>36</v>
      </c>
      <c r="W195">
        <f t="shared" ref="W195:W258" si="20">(U195-V195)</f>
        <v>20</v>
      </c>
      <c r="X195" s="5">
        <f t="shared" ref="X195:X258" si="21">(W195/U195)</f>
        <v>0.35714285714285715</v>
      </c>
      <c r="Y195">
        <f t="shared" ref="Y195:Y258" si="22">YEAR(B195)</f>
        <v>2025</v>
      </c>
      <c r="Z195">
        <f t="shared" ref="Z195:Z258" si="23">MONTH(B195)</f>
        <v>2</v>
      </c>
    </row>
    <row r="196" spans="1:26" x14ac:dyDescent="0.3">
      <c r="A196" s="2">
        <v>1487</v>
      </c>
      <c r="B196" s="3">
        <v>45823</v>
      </c>
      <c r="C196" s="4" t="s">
        <v>20</v>
      </c>
      <c r="D196" s="4" t="s">
        <v>21</v>
      </c>
      <c r="E196" s="4" t="s">
        <v>22</v>
      </c>
      <c r="F196" s="4" t="s">
        <v>23</v>
      </c>
      <c r="G196" t="s">
        <v>24</v>
      </c>
      <c r="H196" s="2">
        <v>2</v>
      </c>
      <c r="I196" s="2">
        <v>60</v>
      </c>
      <c r="J196">
        <v>85</v>
      </c>
      <c r="K196">
        <v>5</v>
      </c>
      <c r="L196">
        <v>12</v>
      </c>
      <c r="M196" t="s">
        <v>35</v>
      </c>
      <c r="N196" t="s">
        <v>44</v>
      </c>
      <c r="O196">
        <v>33</v>
      </c>
      <c r="P196" t="s">
        <v>27</v>
      </c>
      <c r="Q196" t="s">
        <v>37</v>
      </c>
      <c r="R196" t="s">
        <v>38</v>
      </c>
      <c r="S196" t="s">
        <v>553</v>
      </c>
      <c r="T196" s="1">
        <v>46282</v>
      </c>
      <c r="U196">
        <f t="shared" si="18"/>
        <v>170</v>
      </c>
      <c r="V196">
        <f t="shared" si="19"/>
        <v>120</v>
      </c>
      <c r="W196">
        <f t="shared" si="20"/>
        <v>50</v>
      </c>
      <c r="X196" s="5">
        <f t="shared" si="21"/>
        <v>0.29411764705882354</v>
      </c>
      <c r="Y196">
        <f t="shared" si="22"/>
        <v>2025</v>
      </c>
      <c r="Z196">
        <f t="shared" si="23"/>
        <v>6</v>
      </c>
    </row>
    <row r="197" spans="1:26" x14ac:dyDescent="0.3">
      <c r="A197" s="2">
        <v>1488</v>
      </c>
      <c r="B197" s="3">
        <v>46006</v>
      </c>
      <c r="C197" s="4" t="s">
        <v>84</v>
      </c>
      <c r="D197" s="4" t="s">
        <v>85</v>
      </c>
      <c r="E197" s="4" t="s">
        <v>63</v>
      </c>
      <c r="F197" s="4" t="s">
        <v>23</v>
      </c>
      <c r="G197" t="s">
        <v>82</v>
      </c>
      <c r="H197" s="2">
        <v>2</v>
      </c>
      <c r="I197" s="2">
        <v>45</v>
      </c>
      <c r="J197">
        <v>65</v>
      </c>
      <c r="K197">
        <v>0</v>
      </c>
      <c r="L197">
        <v>12</v>
      </c>
      <c r="M197" t="s">
        <v>35</v>
      </c>
      <c r="N197" t="s">
        <v>44</v>
      </c>
      <c r="O197">
        <v>72</v>
      </c>
      <c r="P197" t="s">
        <v>36</v>
      </c>
      <c r="Q197" t="s">
        <v>53</v>
      </c>
      <c r="R197" t="s">
        <v>22</v>
      </c>
      <c r="S197" t="s">
        <v>554</v>
      </c>
      <c r="T197" s="1">
        <v>46312</v>
      </c>
      <c r="U197">
        <f t="shared" si="18"/>
        <v>130</v>
      </c>
      <c r="V197">
        <f t="shared" si="19"/>
        <v>90</v>
      </c>
      <c r="W197">
        <f t="shared" si="20"/>
        <v>40</v>
      </c>
      <c r="X197" s="5">
        <f t="shared" si="21"/>
        <v>0.30769230769230771</v>
      </c>
      <c r="Y197">
        <f t="shared" si="22"/>
        <v>2025</v>
      </c>
      <c r="Z197">
        <f t="shared" si="23"/>
        <v>12</v>
      </c>
    </row>
    <row r="198" spans="1:26" x14ac:dyDescent="0.3">
      <c r="A198" s="2">
        <v>1491</v>
      </c>
      <c r="B198" s="3">
        <v>45986</v>
      </c>
      <c r="C198" s="4" t="s">
        <v>98</v>
      </c>
      <c r="D198" s="4" t="s">
        <v>41</v>
      </c>
      <c r="E198" s="4" t="s">
        <v>33</v>
      </c>
      <c r="F198" s="4" t="s">
        <v>23</v>
      </c>
      <c r="G198" t="s">
        <v>82</v>
      </c>
      <c r="H198" s="2">
        <v>2</v>
      </c>
      <c r="I198" s="2">
        <v>22</v>
      </c>
      <c r="J198">
        <v>32</v>
      </c>
      <c r="K198">
        <v>0</v>
      </c>
      <c r="L198">
        <v>12</v>
      </c>
      <c r="M198" t="s">
        <v>43</v>
      </c>
      <c r="N198" t="s">
        <v>26</v>
      </c>
      <c r="O198">
        <v>23</v>
      </c>
      <c r="P198" t="s">
        <v>45</v>
      </c>
      <c r="Q198" t="s">
        <v>28</v>
      </c>
      <c r="R198" t="s">
        <v>54</v>
      </c>
      <c r="S198" t="s">
        <v>556</v>
      </c>
      <c r="T198" s="1">
        <v>46520</v>
      </c>
      <c r="U198">
        <f t="shared" si="18"/>
        <v>64</v>
      </c>
      <c r="V198">
        <f t="shared" si="19"/>
        <v>44</v>
      </c>
      <c r="W198">
        <f t="shared" si="20"/>
        <v>20</v>
      </c>
      <c r="X198" s="5">
        <f t="shared" si="21"/>
        <v>0.3125</v>
      </c>
      <c r="Y198">
        <f t="shared" si="22"/>
        <v>2025</v>
      </c>
      <c r="Z198">
        <f t="shared" si="23"/>
        <v>11</v>
      </c>
    </row>
    <row r="199" spans="1:26" x14ac:dyDescent="0.3">
      <c r="A199" s="2">
        <v>1499</v>
      </c>
      <c r="B199" s="3">
        <v>45927</v>
      </c>
      <c r="C199" s="4" t="s">
        <v>61</v>
      </c>
      <c r="D199" s="4" t="s">
        <v>62</v>
      </c>
      <c r="E199" s="4" t="s">
        <v>63</v>
      </c>
      <c r="F199" s="4" t="s">
        <v>23</v>
      </c>
      <c r="G199" t="s">
        <v>64</v>
      </c>
      <c r="H199" s="2">
        <v>2</v>
      </c>
      <c r="I199" s="2">
        <v>12</v>
      </c>
      <c r="J199">
        <v>20</v>
      </c>
      <c r="K199">
        <v>0</v>
      </c>
      <c r="L199">
        <v>12</v>
      </c>
      <c r="M199" t="s">
        <v>25</v>
      </c>
      <c r="N199" t="s">
        <v>26</v>
      </c>
      <c r="O199">
        <v>63</v>
      </c>
      <c r="P199" t="s">
        <v>52</v>
      </c>
      <c r="Q199" t="s">
        <v>53</v>
      </c>
      <c r="R199" t="s">
        <v>54</v>
      </c>
      <c r="S199" t="s">
        <v>564</v>
      </c>
      <c r="T199" s="1">
        <v>46355</v>
      </c>
      <c r="U199">
        <f t="shared" si="18"/>
        <v>40</v>
      </c>
      <c r="V199">
        <f t="shared" si="19"/>
        <v>24</v>
      </c>
      <c r="W199">
        <f t="shared" si="20"/>
        <v>16</v>
      </c>
      <c r="X199" s="5">
        <f t="shared" si="21"/>
        <v>0.4</v>
      </c>
      <c r="Y199">
        <f t="shared" si="22"/>
        <v>2025</v>
      </c>
      <c r="Z199">
        <f t="shared" si="23"/>
        <v>9</v>
      </c>
    </row>
    <row r="200" spans="1:26" x14ac:dyDescent="0.3">
      <c r="A200" s="2">
        <v>1004</v>
      </c>
      <c r="B200" s="3">
        <v>45927</v>
      </c>
      <c r="C200" s="4" t="s">
        <v>40</v>
      </c>
      <c r="D200" s="4" t="s">
        <v>41</v>
      </c>
      <c r="E200" s="4" t="s">
        <v>33</v>
      </c>
      <c r="F200" s="4" t="s">
        <v>23</v>
      </c>
      <c r="G200" t="s">
        <v>42</v>
      </c>
      <c r="H200" s="2">
        <v>3</v>
      </c>
      <c r="I200" s="2">
        <v>24</v>
      </c>
      <c r="J200">
        <v>34</v>
      </c>
      <c r="K200">
        <v>0</v>
      </c>
      <c r="L200">
        <v>12</v>
      </c>
      <c r="M200" t="s">
        <v>43</v>
      </c>
      <c r="N200" t="s">
        <v>44</v>
      </c>
      <c r="O200">
        <v>39</v>
      </c>
      <c r="P200" t="s">
        <v>45</v>
      </c>
      <c r="Q200" t="s">
        <v>37</v>
      </c>
      <c r="R200" t="s">
        <v>22</v>
      </c>
      <c r="S200" t="s">
        <v>46</v>
      </c>
      <c r="T200" s="1">
        <v>46139</v>
      </c>
      <c r="U200">
        <f t="shared" si="18"/>
        <v>102</v>
      </c>
      <c r="V200">
        <f t="shared" si="19"/>
        <v>72</v>
      </c>
      <c r="W200">
        <f t="shared" si="20"/>
        <v>30</v>
      </c>
      <c r="X200" s="5">
        <f t="shared" si="21"/>
        <v>0.29411764705882354</v>
      </c>
      <c r="Y200">
        <f t="shared" si="22"/>
        <v>2025</v>
      </c>
      <c r="Z200">
        <f t="shared" si="23"/>
        <v>9</v>
      </c>
    </row>
    <row r="201" spans="1:26" x14ac:dyDescent="0.3">
      <c r="A201" s="2">
        <v>1009</v>
      </c>
      <c r="B201" s="3">
        <v>46013</v>
      </c>
      <c r="C201" s="4" t="s">
        <v>40</v>
      </c>
      <c r="D201" s="4" t="s">
        <v>41</v>
      </c>
      <c r="E201" s="4" t="s">
        <v>33</v>
      </c>
      <c r="F201" s="4" t="s">
        <v>23</v>
      </c>
      <c r="G201" t="s">
        <v>42</v>
      </c>
      <c r="H201" s="2">
        <v>3</v>
      </c>
      <c r="I201" s="2">
        <v>24</v>
      </c>
      <c r="J201">
        <v>34</v>
      </c>
      <c r="K201">
        <v>5</v>
      </c>
      <c r="L201">
        <v>12</v>
      </c>
      <c r="M201" t="s">
        <v>43</v>
      </c>
      <c r="N201" t="s">
        <v>44</v>
      </c>
      <c r="O201">
        <v>60</v>
      </c>
      <c r="P201" t="s">
        <v>36</v>
      </c>
      <c r="Q201" t="s">
        <v>53</v>
      </c>
      <c r="R201" t="s">
        <v>38</v>
      </c>
      <c r="S201" t="s">
        <v>68</v>
      </c>
      <c r="T201" s="1">
        <v>46363</v>
      </c>
      <c r="U201">
        <f t="shared" si="18"/>
        <v>102</v>
      </c>
      <c r="V201">
        <f t="shared" si="19"/>
        <v>72</v>
      </c>
      <c r="W201">
        <f t="shared" si="20"/>
        <v>30</v>
      </c>
      <c r="X201" s="5">
        <f t="shared" si="21"/>
        <v>0.29411764705882354</v>
      </c>
      <c r="Y201">
        <f t="shared" si="22"/>
        <v>2025</v>
      </c>
      <c r="Z201">
        <f t="shared" si="23"/>
        <v>12</v>
      </c>
    </row>
    <row r="202" spans="1:26" x14ac:dyDescent="0.3">
      <c r="A202" s="2">
        <v>1025</v>
      </c>
      <c r="B202" s="3">
        <v>45922</v>
      </c>
      <c r="C202" s="4" t="s">
        <v>31</v>
      </c>
      <c r="D202" s="4" t="s">
        <v>32</v>
      </c>
      <c r="E202" s="4" t="s">
        <v>33</v>
      </c>
      <c r="F202" s="4" t="s">
        <v>23</v>
      </c>
      <c r="G202" t="s">
        <v>34</v>
      </c>
      <c r="H202" s="2">
        <v>3</v>
      </c>
      <c r="I202" s="2">
        <v>140</v>
      </c>
      <c r="J202">
        <v>180</v>
      </c>
      <c r="K202">
        <v>0</v>
      </c>
      <c r="L202">
        <v>12</v>
      </c>
      <c r="M202" t="s">
        <v>25</v>
      </c>
      <c r="N202" t="s">
        <v>44</v>
      </c>
      <c r="O202">
        <v>19</v>
      </c>
      <c r="P202" t="s">
        <v>52</v>
      </c>
      <c r="Q202" t="s">
        <v>28</v>
      </c>
      <c r="R202" t="s">
        <v>22</v>
      </c>
      <c r="S202" t="s">
        <v>97</v>
      </c>
      <c r="T202" s="1">
        <v>46428</v>
      </c>
      <c r="U202">
        <f t="shared" si="18"/>
        <v>540</v>
      </c>
      <c r="V202">
        <f t="shared" si="19"/>
        <v>420</v>
      </c>
      <c r="W202">
        <f t="shared" si="20"/>
        <v>120</v>
      </c>
      <c r="X202" s="5">
        <f t="shared" si="21"/>
        <v>0.22222222222222221</v>
      </c>
      <c r="Y202">
        <f t="shared" si="22"/>
        <v>2025</v>
      </c>
      <c r="Z202">
        <f t="shared" si="23"/>
        <v>9</v>
      </c>
    </row>
    <row r="203" spans="1:26" x14ac:dyDescent="0.3">
      <c r="A203" s="2">
        <v>1028</v>
      </c>
      <c r="B203" s="3">
        <v>45701</v>
      </c>
      <c r="C203" s="4" t="s">
        <v>98</v>
      </c>
      <c r="D203" s="4" t="s">
        <v>41</v>
      </c>
      <c r="E203" s="4" t="s">
        <v>33</v>
      </c>
      <c r="F203" s="4" t="s">
        <v>23</v>
      </c>
      <c r="G203" t="s">
        <v>82</v>
      </c>
      <c r="H203" s="2">
        <v>3</v>
      </c>
      <c r="I203" s="2">
        <v>22</v>
      </c>
      <c r="J203">
        <v>32</v>
      </c>
      <c r="K203">
        <v>5</v>
      </c>
      <c r="L203">
        <v>12</v>
      </c>
      <c r="M203" t="s">
        <v>43</v>
      </c>
      <c r="N203" t="s">
        <v>44</v>
      </c>
      <c r="O203">
        <v>50</v>
      </c>
      <c r="P203" t="s">
        <v>36</v>
      </c>
      <c r="Q203" t="s">
        <v>37</v>
      </c>
      <c r="R203" t="s">
        <v>54</v>
      </c>
      <c r="S203" t="s">
        <v>101</v>
      </c>
      <c r="T203" s="1">
        <v>46541</v>
      </c>
      <c r="U203">
        <f t="shared" si="18"/>
        <v>96</v>
      </c>
      <c r="V203">
        <f t="shared" si="19"/>
        <v>66</v>
      </c>
      <c r="W203">
        <f t="shared" si="20"/>
        <v>30</v>
      </c>
      <c r="X203" s="5">
        <f t="shared" si="21"/>
        <v>0.3125</v>
      </c>
      <c r="Y203">
        <f t="shared" si="22"/>
        <v>2025</v>
      </c>
      <c r="Z203">
        <f t="shared" si="23"/>
        <v>2</v>
      </c>
    </row>
    <row r="204" spans="1:26" x14ac:dyDescent="0.3">
      <c r="A204" s="2">
        <v>1029</v>
      </c>
      <c r="B204" s="3">
        <v>45864</v>
      </c>
      <c r="C204" s="4" t="s">
        <v>98</v>
      </c>
      <c r="D204" s="4" t="s">
        <v>41</v>
      </c>
      <c r="E204" s="4" t="s">
        <v>33</v>
      </c>
      <c r="F204" s="4" t="s">
        <v>23</v>
      </c>
      <c r="G204" t="s">
        <v>82</v>
      </c>
      <c r="H204" s="2">
        <v>3</v>
      </c>
      <c r="I204" s="2">
        <v>22</v>
      </c>
      <c r="J204">
        <v>32</v>
      </c>
      <c r="K204">
        <v>10</v>
      </c>
      <c r="L204">
        <v>12</v>
      </c>
      <c r="M204" t="s">
        <v>35</v>
      </c>
      <c r="N204" t="s">
        <v>44</v>
      </c>
      <c r="O204">
        <v>33</v>
      </c>
      <c r="P204" t="s">
        <v>45</v>
      </c>
      <c r="Q204" t="s">
        <v>53</v>
      </c>
      <c r="R204" t="s">
        <v>29</v>
      </c>
      <c r="S204" t="s">
        <v>102</v>
      </c>
      <c r="T204" s="1">
        <v>46330</v>
      </c>
      <c r="U204">
        <f t="shared" si="18"/>
        <v>96</v>
      </c>
      <c r="V204">
        <f t="shared" si="19"/>
        <v>66</v>
      </c>
      <c r="W204">
        <f t="shared" si="20"/>
        <v>30</v>
      </c>
      <c r="X204" s="5">
        <f t="shared" si="21"/>
        <v>0.3125</v>
      </c>
      <c r="Y204">
        <f t="shared" si="22"/>
        <v>2025</v>
      </c>
      <c r="Z204">
        <f t="shared" si="23"/>
        <v>7</v>
      </c>
    </row>
    <row r="205" spans="1:26" x14ac:dyDescent="0.3">
      <c r="A205" s="2">
        <v>1034</v>
      </c>
      <c r="B205" s="3">
        <v>45717</v>
      </c>
      <c r="C205" s="4" t="s">
        <v>20</v>
      </c>
      <c r="D205" s="4" t="s">
        <v>21</v>
      </c>
      <c r="E205" s="4" t="s">
        <v>22</v>
      </c>
      <c r="F205" s="4" t="s">
        <v>23</v>
      </c>
      <c r="G205" t="s">
        <v>24</v>
      </c>
      <c r="H205" s="2">
        <v>3</v>
      </c>
      <c r="I205" s="2">
        <v>60</v>
      </c>
      <c r="J205">
        <v>85</v>
      </c>
      <c r="K205">
        <v>0</v>
      </c>
      <c r="L205">
        <v>12</v>
      </c>
      <c r="M205" t="s">
        <v>35</v>
      </c>
      <c r="N205" t="s">
        <v>44</v>
      </c>
      <c r="O205">
        <v>33</v>
      </c>
      <c r="P205" t="s">
        <v>36</v>
      </c>
      <c r="Q205" t="s">
        <v>66</v>
      </c>
      <c r="R205" t="s">
        <v>54</v>
      </c>
      <c r="S205" t="s">
        <v>111</v>
      </c>
      <c r="T205" s="1">
        <v>46051</v>
      </c>
      <c r="U205">
        <f t="shared" si="18"/>
        <v>255</v>
      </c>
      <c r="V205">
        <f t="shared" si="19"/>
        <v>180</v>
      </c>
      <c r="W205">
        <f t="shared" si="20"/>
        <v>75</v>
      </c>
      <c r="X205" s="5">
        <f t="shared" si="21"/>
        <v>0.29411764705882354</v>
      </c>
      <c r="Y205">
        <f t="shared" si="22"/>
        <v>2025</v>
      </c>
      <c r="Z205">
        <f t="shared" si="23"/>
        <v>3</v>
      </c>
    </row>
    <row r="206" spans="1:26" x14ac:dyDescent="0.3">
      <c r="A206" s="2">
        <v>1043</v>
      </c>
      <c r="B206" s="3">
        <v>45965</v>
      </c>
      <c r="C206" s="4" t="s">
        <v>69</v>
      </c>
      <c r="D206" s="4" t="s">
        <v>48</v>
      </c>
      <c r="E206" s="4" t="s">
        <v>70</v>
      </c>
      <c r="F206" s="4" t="s">
        <v>50</v>
      </c>
      <c r="G206" t="s">
        <v>71</v>
      </c>
      <c r="H206" s="2">
        <v>3</v>
      </c>
      <c r="I206" s="2">
        <v>25</v>
      </c>
      <c r="J206">
        <v>38</v>
      </c>
      <c r="K206">
        <v>5</v>
      </c>
      <c r="L206">
        <v>12</v>
      </c>
      <c r="M206" t="s">
        <v>25</v>
      </c>
      <c r="N206" t="s">
        <v>26</v>
      </c>
      <c r="O206">
        <v>48</v>
      </c>
      <c r="P206" t="s">
        <v>27</v>
      </c>
      <c r="Q206" t="s">
        <v>28</v>
      </c>
      <c r="R206" t="s">
        <v>29</v>
      </c>
      <c r="S206" t="s">
        <v>120</v>
      </c>
      <c r="T206" s="1">
        <v>46598</v>
      </c>
      <c r="U206">
        <f t="shared" si="18"/>
        <v>114</v>
      </c>
      <c r="V206">
        <f t="shared" si="19"/>
        <v>75</v>
      </c>
      <c r="W206">
        <f t="shared" si="20"/>
        <v>39</v>
      </c>
      <c r="X206" s="5">
        <f t="shared" si="21"/>
        <v>0.34210526315789475</v>
      </c>
      <c r="Y206">
        <f t="shared" si="22"/>
        <v>2025</v>
      </c>
      <c r="Z206">
        <f t="shared" si="23"/>
        <v>11</v>
      </c>
    </row>
    <row r="207" spans="1:26" x14ac:dyDescent="0.3">
      <c r="A207" s="2">
        <v>1045</v>
      </c>
      <c r="B207" s="3">
        <v>45726</v>
      </c>
      <c r="C207" s="4" t="s">
        <v>98</v>
      </c>
      <c r="D207" s="4" t="s">
        <v>41</v>
      </c>
      <c r="E207" s="4" t="s">
        <v>33</v>
      </c>
      <c r="F207" s="4" t="s">
        <v>23</v>
      </c>
      <c r="G207" t="s">
        <v>82</v>
      </c>
      <c r="H207" s="2">
        <v>3</v>
      </c>
      <c r="I207" s="2">
        <v>22</v>
      </c>
      <c r="J207">
        <v>32</v>
      </c>
      <c r="K207">
        <v>10</v>
      </c>
      <c r="L207">
        <v>12</v>
      </c>
      <c r="M207" t="s">
        <v>35</v>
      </c>
      <c r="N207" t="s">
        <v>26</v>
      </c>
      <c r="O207">
        <v>28</v>
      </c>
      <c r="P207" t="s">
        <v>27</v>
      </c>
      <c r="Q207" t="s">
        <v>66</v>
      </c>
      <c r="R207" t="s">
        <v>38</v>
      </c>
      <c r="S207" t="s">
        <v>122</v>
      </c>
      <c r="T207" s="1">
        <v>46607</v>
      </c>
      <c r="U207">
        <f t="shared" si="18"/>
        <v>96</v>
      </c>
      <c r="V207">
        <f t="shared" si="19"/>
        <v>66</v>
      </c>
      <c r="W207">
        <f t="shared" si="20"/>
        <v>30</v>
      </c>
      <c r="X207" s="5">
        <f t="shared" si="21"/>
        <v>0.3125</v>
      </c>
      <c r="Y207">
        <f t="shared" si="22"/>
        <v>2025</v>
      </c>
      <c r="Z207">
        <f t="shared" si="23"/>
        <v>3</v>
      </c>
    </row>
    <row r="208" spans="1:26" x14ac:dyDescent="0.3">
      <c r="A208" s="2">
        <v>1047</v>
      </c>
      <c r="B208" s="3">
        <v>45771</v>
      </c>
      <c r="C208" s="4" t="s">
        <v>31</v>
      </c>
      <c r="D208" s="4" t="s">
        <v>32</v>
      </c>
      <c r="E208" s="4" t="s">
        <v>33</v>
      </c>
      <c r="F208" s="4" t="s">
        <v>23</v>
      </c>
      <c r="G208" t="s">
        <v>34</v>
      </c>
      <c r="H208" s="2">
        <v>3</v>
      </c>
      <c r="I208" s="2">
        <v>140</v>
      </c>
      <c r="J208">
        <v>180</v>
      </c>
      <c r="K208">
        <v>0</v>
      </c>
      <c r="L208">
        <v>12</v>
      </c>
      <c r="M208" t="s">
        <v>35</v>
      </c>
      <c r="N208" t="s">
        <v>26</v>
      </c>
      <c r="O208">
        <v>47</v>
      </c>
      <c r="P208" t="s">
        <v>27</v>
      </c>
      <c r="Q208" t="s">
        <v>28</v>
      </c>
      <c r="R208" t="s">
        <v>38</v>
      </c>
      <c r="S208" t="s">
        <v>124</v>
      </c>
      <c r="T208" s="1">
        <v>46426</v>
      </c>
      <c r="U208">
        <f t="shared" si="18"/>
        <v>540</v>
      </c>
      <c r="V208">
        <f t="shared" si="19"/>
        <v>420</v>
      </c>
      <c r="W208">
        <f t="shared" si="20"/>
        <v>120</v>
      </c>
      <c r="X208" s="5">
        <f t="shared" si="21"/>
        <v>0.22222222222222221</v>
      </c>
      <c r="Y208">
        <f t="shared" si="22"/>
        <v>2025</v>
      </c>
      <c r="Z208">
        <f t="shared" si="23"/>
        <v>4</v>
      </c>
    </row>
    <row r="209" spans="1:26" x14ac:dyDescent="0.3">
      <c r="A209" s="2">
        <v>1058</v>
      </c>
      <c r="B209" s="3">
        <v>45955</v>
      </c>
      <c r="C209" s="4" t="s">
        <v>134</v>
      </c>
      <c r="D209" s="4" t="s">
        <v>21</v>
      </c>
      <c r="E209" s="4" t="s">
        <v>29</v>
      </c>
      <c r="F209" s="4" t="s">
        <v>50</v>
      </c>
      <c r="G209" t="s">
        <v>24</v>
      </c>
      <c r="H209" s="2">
        <v>3</v>
      </c>
      <c r="I209" s="2">
        <v>70</v>
      </c>
      <c r="J209">
        <v>95</v>
      </c>
      <c r="K209">
        <v>0</v>
      </c>
      <c r="L209">
        <v>12</v>
      </c>
      <c r="M209" t="s">
        <v>43</v>
      </c>
      <c r="N209" t="s">
        <v>26</v>
      </c>
      <c r="O209">
        <v>59</v>
      </c>
      <c r="P209" t="s">
        <v>52</v>
      </c>
      <c r="Q209" t="s">
        <v>59</v>
      </c>
      <c r="R209" t="s">
        <v>86</v>
      </c>
      <c r="S209" t="s">
        <v>135</v>
      </c>
      <c r="T209" s="1">
        <v>46224</v>
      </c>
      <c r="U209">
        <f t="shared" si="18"/>
        <v>285</v>
      </c>
      <c r="V209">
        <f t="shared" si="19"/>
        <v>210</v>
      </c>
      <c r="W209">
        <f t="shared" si="20"/>
        <v>75</v>
      </c>
      <c r="X209" s="5">
        <f t="shared" si="21"/>
        <v>0.26315789473684209</v>
      </c>
      <c r="Y209">
        <f t="shared" si="22"/>
        <v>2025</v>
      </c>
      <c r="Z209">
        <f t="shared" si="23"/>
        <v>10</v>
      </c>
    </row>
    <row r="210" spans="1:26" x14ac:dyDescent="0.3">
      <c r="A210" s="2">
        <v>1063</v>
      </c>
      <c r="B210" s="3">
        <v>45978</v>
      </c>
      <c r="C210" s="4" t="s">
        <v>108</v>
      </c>
      <c r="D210" s="4" t="s">
        <v>32</v>
      </c>
      <c r="E210" s="4" t="s">
        <v>109</v>
      </c>
      <c r="F210" s="4" t="s">
        <v>23</v>
      </c>
      <c r="G210" t="s">
        <v>82</v>
      </c>
      <c r="H210" s="2">
        <v>3</v>
      </c>
      <c r="I210" s="2">
        <v>90</v>
      </c>
      <c r="J210">
        <v>120</v>
      </c>
      <c r="K210">
        <v>5</v>
      </c>
      <c r="L210">
        <v>12</v>
      </c>
      <c r="M210" t="s">
        <v>43</v>
      </c>
      <c r="N210" t="s">
        <v>44</v>
      </c>
      <c r="O210">
        <v>44</v>
      </c>
      <c r="P210" t="s">
        <v>27</v>
      </c>
      <c r="Q210" t="s">
        <v>37</v>
      </c>
      <c r="R210" t="s">
        <v>29</v>
      </c>
      <c r="S210" t="s">
        <v>140</v>
      </c>
      <c r="T210" s="1">
        <v>46777</v>
      </c>
      <c r="U210">
        <f t="shared" si="18"/>
        <v>360</v>
      </c>
      <c r="V210">
        <f t="shared" si="19"/>
        <v>270</v>
      </c>
      <c r="W210">
        <f t="shared" si="20"/>
        <v>90</v>
      </c>
      <c r="X210" s="5">
        <f t="shared" si="21"/>
        <v>0.25</v>
      </c>
      <c r="Y210">
        <f t="shared" si="22"/>
        <v>2025</v>
      </c>
      <c r="Z210">
        <f t="shared" si="23"/>
        <v>11</v>
      </c>
    </row>
    <row r="211" spans="1:26" x14ac:dyDescent="0.3">
      <c r="A211" s="2">
        <v>1076</v>
      </c>
      <c r="B211" s="3">
        <v>45916</v>
      </c>
      <c r="C211" s="4" t="s">
        <v>108</v>
      </c>
      <c r="D211" s="4" t="s">
        <v>32</v>
      </c>
      <c r="E211" s="4" t="s">
        <v>109</v>
      </c>
      <c r="F211" s="4" t="s">
        <v>23</v>
      </c>
      <c r="G211" t="s">
        <v>82</v>
      </c>
      <c r="H211" s="2">
        <v>3</v>
      </c>
      <c r="I211" s="2">
        <v>90</v>
      </c>
      <c r="J211">
        <v>120</v>
      </c>
      <c r="K211">
        <v>10</v>
      </c>
      <c r="L211">
        <v>12</v>
      </c>
      <c r="M211" t="s">
        <v>43</v>
      </c>
      <c r="N211" t="s">
        <v>26</v>
      </c>
      <c r="O211">
        <v>29</v>
      </c>
      <c r="P211" t="s">
        <v>36</v>
      </c>
      <c r="Q211" t="s">
        <v>59</v>
      </c>
      <c r="R211" t="s">
        <v>86</v>
      </c>
      <c r="S211" t="s">
        <v>153</v>
      </c>
      <c r="T211" s="1">
        <v>46362</v>
      </c>
      <c r="U211">
        <f t="shared" si="18"/>
        <v>360</v>
      </c>
      <c r="V211">
        <f t="shared" si="19"/>
        <v>270</v>
      </c>
      <c r="W211">
        <f t="shared" si="20"/>
        <v>90</v>
      </c>
      <c r="X211" s="5">
        <f t="shared" si="21"/>
        <v>0.25</v>
      </c>
      <c r="Y211">
        <f t="shared" si="22"/>
        <v>2025</v>
      </c>
      <c r="Z211">
        <f t="shared" si="23"/>
        <v>9</v>
      </c>
    </row>
    <row r="212" spans="1:26" x14ac:dyDescent="0.3">
      <c r="A212" s="2">
        <v>1082</v>
      </c>
      <c r="B212" s="3">
        <v>45708</v>
      </c>
      <c r="C212" s="4" t="s">
        <v>47</v>
      </c>
      <c r="D212" s="4" t="s">
        <v>48</v>
      </c>
      <c r="E212" s="4" t="s">
        <v>49</v>
      </c>
      <c r="F212" s="4" t="s">
        <v>50</v>
      </c>
      <c r="G212" t="s">
        <v>51</v>
      </c>
      <c r="H212" s="2">
        <v>3</v>
      </c>
      <c r="I212" s="2">
        <v>35</v>
      </c>
      <c r="J212">
        <v>50</v>
      </c>
      <c r="K212">
        <v>0</v>
      </c>
      <c r="L212">
        <v>12</v>
      </c>
      <c r="M212" t="s">
        <v>25</v>
      </c>
      <c r="N212" t="s">
        <v>26</v>
      </c>
      <c r="O212">
        <v>43</v>
      </c>
      <c r="P212" t="s">
        <v>45</v>
      </c>
      <c r="Q212" t="s">
        <v>66</v>
      </c>
      <c r="R212" t="s">
        <v>86</v>
      </c>
      <c r="S212" t="s">
        <v>159</v>
      </c>
      <c r="T212" s="1">
        <v>45895</v>
      </c>
      <c r="U212">
        <f t="shared" si="18"/>
        <v>150</v>
      </c>
      <c r="V212">
        <f t="shared" si="19"/>
        <v>105</v>
      </c>
      <c r="W212">
        <f t="shared" si="20"/>
        <v>45</v>
      </c>
      <c r="X212" s="5">
        <f t="shared" si="21"/>
        <v>0.3</v>
      </c>
      <c r="Y212">
        <f t="shared" si="22"/>
        <v>2025</v>
      </c>
      <c r="Z212">
        <f t="shared" si="23"/>
        <v>2</v>
      </c>
    </row>
    <row r="213" spans="1:26" x14ac:dyDescent="0.3">
      <c r="A213" s="2">
        <v>1086</v>
      </c>
      <c r="B213" s="3">
        <v>45899</v>
      </c>
      <c r="C213" s="4" t="s">
        <v>84</v>
      </c>
      <c r="D213" s="4" t="s">
        <v>85</v>
      </c>
      <c r="E213" s="4" t="s">
        <v>63</v>
      </c>
      <c r="F213" s="4" t="s">
        <v>23</v>
      </c>
      <c r="G213" t="s">
        <v>82</v>
      </c>
      <c r="H213" s="2">
        <v>3</v>
      </c>
      <c r="I213" s="2">
        <v>45</v>
      </c>
      <c r="J213">
        <v>65</v>
      </c>
      <c r="K213">
        <v>10</v>
      </c>
      <c r="L213">
        <v>12</v>
      </c>
      <c r="M213" t="s">
        <v>35</v>
      </c>
      <c r="N213" t="s">
        <v>44</v>
      </c>
      <c r="O213">
        <v>63</v>
      </c>
      <c r="P213" t="s">
        <v>36</v>
      </c>
      <c r="Q213" t="s">
        <v>53</v>
      </c>
      <c r="R213" t="s">
        <v>86</v>
      </c>
      <c r="S213" t="s">
        <v>163</v>
      </c>
      <c r="T213" s="1">
        <v>46400</v>
      </c>
      <c r="U213">
        <f t="shared" si="18"/>
        <v>195</v>
      </c>
      <c r="V213">
        <f t="shared" si="19"/>
        <v>135</v>
      </c>
      <c r="W213">
        <f t="shared" si="20"/>
        <v>60</v>
      </c>
      <c r="X213" s="5">
        <f t="shared" si="21"/>
        <v>0.30769230769230771</v>
      </c>
      <c r="Y213">
        <f t="shared" si="22"/>
        <v>2025</v>
      </c>
      <c r="Z213">
        <f t="shared" si="23"/>
        <v>8</v>
      </c>
    </row>
    <row r="214" spans="1:26" x14ac:dyDescent="0.3">
      <c r="A214" s="2">
        <v>1087</v>
      </c>
      <c r="B214" s="3">
        <v>45926</v>
      </c>
      <c r="C214" s="4" t="s">
        <v>79</v>
      </c>
      <c r="D214" s="4" t="s">
        <v>80</v>
      </c>
      <c r="E214" s="4" t="s">
        <v>81</v>
      </c>
      <c r="F214" s="4" t="s">
        <v>23</v>
      </c>
      <c r="G214" t="s">
        <v>82</v>
      </c>
      <c r="H214" s="2">
        <v>3</v>
      </c>
      <c r="I214" s="2">
        <v>80</v>
      </c>
      <c r="J214">
        <v>110</v>
      </c>
      <c r="K214">
        <v>5</v>
      </c>
      <c r="L214">
        <v>12</v>
      </c>
      <c r="M214" t="s">
        <v>35</v>
      </c>
      <c r="N214" t="s">
        <v>44</v>
      </c>
      <c r="O214">
        <v>44</v>
      </c>
      <c r="P214" t="s">
        <v>45</v>
      </c>
      <c r="Q214" t="s">
        <v>37</v>
      </c>
      <c r="R214" t="s">
        <v>54</v>
      </c>
      <c r="S214" t="s">
        <v>164</v>
      </c>
      <c r="T214" s="1">
        <v>46669</v>
      </c>
      <c r="U214">
        <f t="shared" si="18"/>
        <v>330</v>
      </c>
      <c r="V214">
        <f t="shared" si="19"/>
        <v>240</v>
      </c>
      <c r="W214">
        <f t="shared" si="20"/>
        <v>90</v>
      </c>
      <c r="X214" s="5">
        <f t="shared" si="21"/>
        <v>0.27272727272727271</v>
      </c>
      <c r="Y214">
        <f t="shared" si="22"/>
        <v>2025</v>
      </c>
      <c r="Z214">
        <f t="shared" si="23"/>
        <v>9</v>
      </c>
    </row>
    <row r="215" spans="1:26" x14ac:dyDescent="0.3">
      <c r="A215" s="2">
        <v>1092</v>
      </c>
      <c r="B215" s="3">
        <v>45860</v>
      </c>
      <c r="C215" s="4" t="s">
        <v>56</v>
      </c>
      <c r="D215" s="4" t="s">
        <v>57</v>
      </c>
      <c r="E215" s="4" t="s">
        <v>58</v>
      </c>
      <c r="F215" s="4" t="s">
        <v>23</v>
      </c>
      <c r="G215" t="s">
        <v>24</v>
      </c>
      <c r="H215" s="2">
        <v>3</v>
      </c>
      <c r="I215" s="2">
        <v>75</v>
      </c>
      <c r="J215">
        <v>100</v>
      </c>
      <c r="K215">
        <v>0</v>
      </c>
      <c r="L215">
        <v>12</v>
      </c>
      <c r="M215" t="s">
        <v>25</v>
      </c>
      <c r="N215" t="s">
        <v>26</v>
      </c>
      <c r="O215">
        <v>65</v>
      </c>
      <c r="P215" t="s">
        <v>27</v>
      </c>
      <c r="Q215" t="s">
        <v>28</v>
      </c>
      <c r="R215" t="s">
        <v>29</v>
      </c>
      <c r="S215" t="s">
        <v>169</v>
      </c>
      <c r="T215" s="1">
        <v>46696</v>
      </c>
      <c r="U215">
        <f t="shared" si="18"/>
        <v>300</v>
      </c>
      <c r="V215">
        <f t="shared" si="19"/>
        <v>225</v>
      </c>
      <c r="W215">
        <f t="shared" si="20"/>
        <v>75</v>
      </c>
      <c r="X215" s="5">
        <f t="shared" si="21"/>
        <v>0.25</v>
      </c>
      <c r="Y215">
        <f t="shared" si="22"/>
        <v>2025</v>
      </c>
      <c r="Z215">
        <f t="shared" si="23"/>
        <v>7</v>
      </c>
    </row>
    <row r="216" spans="1:26" x14ac:dyDescent="0.3">
      <c r="A216" s="2">
        <v>1095</v>
      </c>
      <c r="B216" s="3">
        <v>45853</v>
      </c>
      <c r="C216" s="4" t="s">
        <v>61</v>
      </c>
      <c r="D216" s="4" t="s">
        <v>62</v>
      </c>
      <c r="E216" s="4" t="s">
        <v>63</v>
      </c>
      <c r="F216" s="4" t="s">
        <v>23</v>
      </c>
      <c r="G216" t="s">
        <v>64</v>
      </c>
      <c r="H216" s="2">
        <v>3</v>
      </c>
      <c r="I216" s="2">
        <v>12</v>
      </c>
      <c r="J216">
        <v>20</v>
      </c>
      <c r="K216">
        <v>5</v>
      </c>
      <c r="L216">
        <v>12</v>
      </c>
      <c r="M216" t="s">
        <v>25</v>
      </c>
      <c r="N216" t="s">
        <v>44</v>
      </c>
      <c r="O216">
        <v>53</v>
      </c>
      <c r="P216" t="s">
        <v>45</v>
      </c>
      <c r="Q216" t="s">
        <v>59</v>
      </c>
      <c r="R216" t="s">
        <v>86</v>
      </c>
      <c r="S216" t="s">
        <v>172</v>
      </c>
      <c r="T216" s="1">
        <v>46272</v>
      </c>
      <c r="U216">
        <f t="shared" si="18"/>
        <v>60</v>
      </c>
      <c r="V216">
        <f t="shared" si="19"/>
        <v>36</v>
      </c>
      <c r="W216">
        <f t="shared" si="20"/>
        <v>24</v>
      </c>
      <c r="X216" s="5">
        <f t="shared" si="21"/>
        <v>0.4</v>
      </c>
      <c r="Y216">
        <f t="shared" si="22"/>
        <v>2025</v>
      </c>
      <c r="Z216">
        <f t="shared" si="23"/>
        <v>7</v>
      </c>
    </row>
    <row r="217" spans="1:26" x14ac:dyDescent="0.3">
      <c r="A217" s="2">
        <v>1098</v>
      </c>
      <c r="B217" s="3">
        <v>45766</v>
      </c>
      <c r="C217" s="4" t="s">
        <v>20</v>
      </c>
      <c r="D217" s="4" t="s">
        <v>21</v>
      </c>
      <c r="E217" s="4" t="s">
        <v>22</v>
      </c>
      <c r="F217" s="4" t="s">
        <v>23</v>
      </c>
      <c r="G217" t="s">
        <v>24</v>
      </c>
      <c r="H217" s="2">
        <v>3</v>
      </c>
      <c r="I217" s="2">
        <v>60</v>
      </c>
      <c r="J217">
        <v>85</v>
      </c>
      <c r="K217">
        <v>5</v>
      </c>
      <c r="L217">
        <v>12</v>
      </c>
      <c r="M217" t="s">
        <v>35</v>
      </c>
      <c r="N217" t="s">
        <v>44</v>
      </c>
      <c r="O217">
        <v>38</v>
      </c>
      <c r="P217" t="s">
        <v>52</v>
      </c>
      <c r="Q217" t="s">
        <v>37</v>
      </c>
      <c r="R217" t="s">
        <v>86</v>
      </c>
      <c r="S217" t="s">
        <v>175</v>
      </c>
      <c r="T217" s="1">
        <v>46509</v>
      </c>
      <c r="U217">
        <f t="shared" si="18"/>
        <v>255</v>
      </c>
      <c r="V217">
        <f t="shared" si="19"/>
        <v>180</v>
      </c>
      <c r="W217">
        <f t="shared" si="20"/>
        <v>75</v>
      </c>
      <c r="X217" s="5">
        <f t="shared" si="21"/>
        <v>0.29411764705882354</v>
      </c>
      <c r="Y217">
        <f t="shared" si="22"/>
        <v>2025</v>
      </c>
      <c r="Z217">
        <f t="shared" si="23"/>
        <v>4</v>
      </c>
    </row>
    <row r="218" spans="1:26" x14ac:dyDescent="0.3">
      <c r="A218" s="2">
        <v>1100</v>
      </c>
      <c r="B218" s="3">
        <v>46007</v>
      </c>
      <c r="C218" s="4" t="s">
        <v>61</v>
      </c>
      <c r="D218" s="4" t="s">
        <v>62</v>
      </c>
      <c r="E218" s="4" t="s">
        <v>63</v>
      </c>
      <c r="F218" s="4" t="s">
        <v>23</v>
      </c>
      <c r="G218" t="s">
        <v>64</v>
      </c>
      <c r="H218" s="2">
        <v>3</v>
      </c>
      <c r="I218" s="2">
        <v>12</v>
      </c>
      <c r="J218">
        <v>20</v>
      </c>
      <c r="K218">
        <v>0</v>
      </c>
      <c r="L218">
        <v>12</v>
      </c>
      <c r="M218" t="s">
        <v>43</v>
      </c>
      <c r="N218" t="s">
        <v>26</v>
      </c>
      <c r="O218">
        <v>62</v>
      </c>
      <c r="P218" t="s">
        <v>36</v>
      </c>
      <c r="Q218" t="s">
        <v>66</v>
      </c>
      <c r="R218" t="s">
        <v>86</v>
      </c>
      <c r="S218" t="s">
        <v>177</v>
      </c>
      <c r="T218" s="1">
        <v>46621</v>
      </c>
      <c r="U218">
        <f t="shared" si="18"/>
        <v>60</v>
      </c>
      <c r="V218">
        <f t="shared" si="19"/>
        <v>36</v>
      </c>
      <c r="W218">
        <f t="shared" si="20"/>
        <v>24</v>
      </c>
      <c r="X218" s="5">
        <f t="shared" si="21"/>
        <v>0.4</v>
      </c>
      <c r="Y218">
        <f t="shared" si="22"/>
        <v>2025</v>
      </c>
      <c r="Z218">
        <f t="shared" si="23"/>
        <v>12</v>
      </c>
    </row>
    <row r="219" spans="1:26" x14ac:dyDescent="0.3">
      <c r="A219" s="2">
        <v>1101</v>
      </c>
      <c r="B219" s="3">
        <v>45701</v>
      </c>
      <c r="C219" s="4" t="s">
        <v>69</v>
      </c>
      <c r="D219" s="4" t="s">
        <v>48</v>
      </c>
      <c r="E219" s="4" t="s">
        <v>70</v>
      </c>
      <c r="F219" s="4" t="s">
        <v>50</v>
      </c>
      <c r="G219" t="s">
        <v>71</v>
      </c>
      <c r="H219" s="2">
        <v>3</v>
      </c>
      <c r="I219" s="2">
        <v>25</v>
      </c>
      <c r="J219">
        <v>38</v>
      </c>
      <c r="K219">
        <v>0</v>
      </c>
      <c r="L219">
        <v>12</v>
      </c>
      <c r="M219" t="s">
        <v>35</v>
      </c>
      <c r="N219" t="s">
        <v>26</v>
      </c>
      <c r="O219">
        <v>69</v>
      </c>
      <c r="P219" t="s">
        <v>36</v>
      </c>
      <c r="Q219" t="s">
        <v>53</v>
      </c>
      <c r="R219" t="s">
        <v>54</v>
      </c>
      <c r="S219" t="s">
        <v>178</v>
      </c>
      <c r="T219" s="1">
        <v>46317</v>
      </c>
      <c r="U219">
        <f t="shared" si="18"/>
        <v>114</v>
      </c>
      <c r="V219">
        <f t="shared" si="19"/>
        <v>75</v>
      </c>
      <c r="W219">
        <f t="shared" si="20"/>
        <v>39</v>
      </c>
      <c r="X219" s="5">
        <f t="shared" si="21"/>
        <v>0.34210526315789475</v>
      </c>
      <c r="Y219">
        <f t="shared" si="22"/>
        <v>2025</v>
      </c>
      <c r="Z219">
        <f t="shared" si="23"/>
        <v>2</v>
      </c>
    </row>
    <row r="220" spans="1:26" x14ac:dyDescent="0.3">
      <c r="A220" s="2">
        <v>1102</v>
      </c>
      <c r="B220" s="3">
        <v>45795</v>
      </c>
      <c r="C220" s="4" t="s">
        <v>75</v>
      </c>
      <c r="D220" s="4" t="s">
        <v>41</v>
      </c>
      <c r="E220" s="4" t="s">
        <v>76</v>
      </c>
      <c r="F220" s="4" t="s">
        <v>23</v>
      </c>
      <c r="G220" t="s">
        <v>42</v>
      </c>
      <c r="H220" s="2">
        <v>3</v>
      </c>
      <c r="I220" s="2">
        <v>25</v>
      </c>
      <c r="J220">
        <v>35</v>
      </c>
      <c r="K220">
        <v>0</v>
      </c>
      <c r="L220">
        <v>12</v>
      </c>
      <c r="M220" t="s">
        <v>43</v>
      </c>
      <c r="N220" t="s">
        <v>26</v>
      </c>
      <c r="O220">
        <v>27</v>
      </c>
      <c r="P220" t="s">
        <v>52</v>
      </c>
      <c r="Q220" t="s">
        <v>28</v>
      </c>
      <c r="R220" t="s">
        <v>54</v>
      </c>
      <c r="S220" t="s">
        <v>179</v>
      </c>
      <c r="T220" s="1">
        <v>46492</v>
      </c>
      <c r="U220">
        <f t="shared" si="18"/>
        <v>105</v>
      </c>
      <c r="V220">
        <f t="shared" si="19"/>
        <v>75</v>
      </c>
      <c r="W220">
        <f t="shared" si="20"/>
        <v>30</v>
      </c>
      <c r="X220" s="5">
        <f t="shared" si="21"/>
        <v>0.2857142857142857</v>
      </c>
      <c r="Y220">
        <f t="shared" si="22"/>
        <v>2025</v>
      </c>
      <c r="Z220">
        <f t="shared" si="23"/>
        <v>5</v>
      </c>
    </row>
    <row r="221" spans="1:26" x14ac:dyDescent="0.3">
      <c r="A221" s="2">
        <v>1109</v>
      </c>
      <c r="B221" s="3">
        <v>45803</v>
      </c>
      <c r="C221" s="4" t="s">
        <v>98</v>
      </c>
      <c r="D221" s="4" t="s">
        <v>41</v>
      </c>
      <c r="E221" s="4" t="s">
        <v>33</v>
      </c>
      <c r="F221" s="4" t="s">
        <v>23</v>
      </c>
      <c r="G221" t="s">
        <v>82</v>
      </c>
      <c r="H221" s="2">
        <v>3</v>
      </c>
      <c r="I221" s="2">
        <v>22</v>
      </c>
      <c r="J221">
        <v>32</v>
      </c>
      <c r="K221">
        <v>5</v>
      </c>
      <c r="L221">
        <v>12</v>
      </c>
      <c r="M221" t="s">
        <v>35</v>
      </c>
      <c r="N221" t="s">
        <v>26</v>
      </c>
      <c r="O221">
        <v>72</v>
      </c>
      <c r="P221" t="s">
        <v>36</v>
      </c>
      <c r="Q221" t="s">
        <v>28</v>
      </c>
      <c r="R221" t="s">
        <v>29</v>
      </c>
      <c r="S221" t="s">
        <v>186</v>
      </c>
      <c r="T221" s="1">
        <v>46642</v>
      </c>
      <c r="U221">
        <f t="shared" si="18"/>
        <v>96</v>
      </c>
      <c r="V221">
        <f t="shared" si="19"/>
        <v>66</v>
      </c>
      <c r="W221">
        <f t="shared" si="20"/>
        <v>30</v>
      </c>
      <c r="X221" s="5">
        <f t="shared" si="21"/>
        <v>0.3125</v>
      </c>
      <c r="Y221">
        <f t="shared" si="22"/>
        <v>2025</v>
      </c>
      <c r="Z221">
        <f t="shared" si="23"/>
        <v>5</v>
      </c>
    </row>
    <row r="222" spans="1:26" x14ac:dyDescent="0.3">
      <c r="A222" s="2">
        <v>1118</v>
      </c>
      <c r="B222" s="3">
        <v>45864</v>
      </c>
      <c r="C222" s="4" t="s">
        <v>47</v>
      </c>
      <c r="D222" s="4" t="s">
        <v>48</v>
      </c>
      <c r="E222" s="4" t="s">
        <v>49</v>
      </c>
      <c r="F222" s="4" t="s">
        <v>50</v>
      </c>
      <c r="G222" t="s">
        <v>51</v>
      </c>
      <c r="H222" s="2">
        <v>3</v>
      </c>
      <c r="I222" s="2">
        <v>35</v>
      </c>
      <c r="J222">
        <v>50</v>
      </c>
      <c r="K222">
        <v>10</v>
      </c>
      <c r="L222">
        <v>12</v>
      </c>
      <c r="M222" t="s">
        <v>35</v>
      </c>
      <c r="N222" t="s">
        <v>44</v>
      </c>
      <c r="O222">
        <v>70</v>
      </c>
      <c r="P222" t="s">
        <v>27</v>
      </c>
      <c r="Q222" t="s">
        <v>66</v>
      </c>
      <c r="R222" t="s">
        <v>54</v>
      </c>
      <c r="S222" t="s">
        <v>195</v>
      </c>
      <c r="T222" s="1">
        <v>46676</v>
      </c>
      <c r="U222">
        <f t="shared" si="18"/>
        <v>150</v>
      </c>
      <c r="V222">
        <f t="shared" si="19"/>
        <v>105</v>
      </c>
      <c r="W222">
        <f t="shared" si="20"/>
        <v>45</v>
      </c>
      <c r="X222" s="5">
        <f t="shared" si="21"/>
        <v>0.3</v>
      </c>
      <c r="Y222">
        <f t="shared" si="22"/>
        <v>2025</v>
      </c>
      <c r="Z222">
        <f t="shared" si="23"/>
        <v>7</v>
      </c>
    </row>
    <row r="223" spans="1:26" x14ac:dyDescent="0.3">
      <c r="A223" s="2">
        <v>1119</v>
      </c>
      <c r="B223" s="3">
        <v>45697</v>
      </c>
      <c r="C223" s="4" t="s">
        <v>98</v>
      </c>
      <c r="D223" s="4" t="s">
        <v>41</v>
      </c>
      <c r="E223" s="4" t="s">
        <v>33</v>
      </c>
      <c r="F223" s="4" t="s">
        <v>23</v>
      </c>
      <c r="G223" t="s">
        <v>82</v>
      </c>
      <c r="H223" s="2">
        <v>3</v>
      </c>
      <c r="I223" s="2">
        <v>22</v>
      </c>
      <c r="J223">
        <v>32</v>
      </c>
      <c r="K223">
        <v>0</v>
      </c>
      <c r="L223">
        <v>12</v>
      </c>
      <c r="M223" t="s">
        <v>35</v>
      </c>
      <c r="N223" t="s">
        <v>26</v>
      </c>
      <c r="O223">
        <v>20</v>
      </c>
      <c r="P223" t="s">
        <v>36</v>
      </c>
      <c r="Q223" t="s">
        <v>59</v>
      </c>
      <c r="R223" t="s">
        <v>22</v>
      </c>
      <c r="S223" t="s">
        <v>196</v>
      </c>
      <c r="T223" s="1">
        <v>46092</v>
      </c>
      <c r="U223">
        <f t="shared" si="18"/>
        <v>96</v>
      </c>
      <c r="V223">
        <f t="shared" si="19"/>
        <v>66</v>
      </c>
      <c r="W223">
        <f t="shared" si="20"/>
        <v>30</v>
      </c>
      <c r="X223" s="5">
        <f t="shared" si="21"/>
        <v>0.3125</v>
      </c>
      <c r="Y223">
        <f t="shared" si="22"/>
        <v>2025</v>
      </c>
      <c r="Z223">
        <f t="shared" si="23"/>
        <v>2</v>
      </c>
    </row>
    <row r="224" spans="1:26" x14ac:dyDescent="0.3">
      <c r="A224" s="2">
        <v>1133</v>
      </c>
      <c r="B224" s="3">
        <v>45912</v>
      </c>
      <c r="C224" s="4" t="s">
        <v>69</v>
      </c>
      <c r="D224" s="4" t="s">
        <v>48</v>
      </c>
      <c r="E224" s="4" t="s">
        <v>70</v>
      </c>
      <c r="F224" s="4" t="s">
        <v>50</v>
      </c>
      <c r="G224" t="s">
        <v>71</v>
      </c>
      <c r="H224" s="2">
        <v>3</v>
      </c>
      <c r="I224" s="2">
        <v>25</v>
      </c>
      <c r="J224">
        <v>38</v>
      </c>
      <c r="K224">
        <v>10</v>
      </c>
      <c r="L224">
        <v>12</v>
      </c>
      <c r="M224" t="s">
        <v>35</v>
      </c>
      <c r="N224" t="s">
        <v>44</v>
      </c>
      <c r="O224">
        <v>67</v>
      </c>
      <c r="P224" t="s">
        <v>45</v>
      </c>
      <c r="Q224" t="s">
        <v>28</v>
      </c>
      <c r="R224" t="s">
        <v>29</v>
      </c>
      <c r="S224" t="s">
        <v>210</v>
      </c>
      <c r="T224" s="1">
        <v>46637</v>
      </c>
      <c r="U224">
        <f t="shared" si="18"/>
        <v>114</v>
      </c>
      <c r="V224">
        <f t="shared" si="19"/>
        <v>75</v>
      </c>
      <c r="W224">
        <f t="shared" si="20"/>
        <v>39</v>
      </c>
      <c r="X224" s="5">
        <f t="shared" si="21"/>
        <v>0.34210526315789475</v>
      </c>
      <c r="Y224">
        <f t="shared" si="22"/>
        <v>2025</v>
      </c>
      <c r="Z224">
        <f t="shared" si="23"/>
        <v>9</v>
      </c>
    </row>
    <row r="225" spans="1:26" x14ac:dyDescent="0.3">
      <c r="A225" s="2">
        <v>1144</v>
      </c>
      <c r="B225" s="3">
        <v>45962</v>
      </c>
      <c r="C225" s="4" t="s">
        <v>75</v>
      </c>
      <c r="D225" s="4" t="s">
        <v>41</v>
      </c>
      <c r="E225" s="4" t="s">
        <v>76</v>
      </c>
      <c r="F225" s="4" t="s">
        <v>23</v>
      </c>
      <c r="G225" t="s">
        <v>42</v>
      </c>
      <c r="H225" s="2">
        <v>3</v>
      </c>
      <c r="I225" s="2">
        <v>25</v>
      </c>
      <c r="J225">
        <v>35</v>
      </c>
      <c r="K225">
        <v>0</v>
      </c>
      <c r="L225">
        <v>12</v>
      </c>
      <c r="M225" t="s">
        <v>25</v>
      </c>
      <c r="N225" t="s">
        <v>44</v>
      </c>
      <c r="O225">
        <v>39</v>
      </c>
      <c r="P225" t="s">
        <v>52</v>
      </c>
      <c r="Q225" t="s">
        <v>59</v>
      </c>
      <c r="R225" t="s">
        <v>38</v>
      </c>
      <c r="S225" t="s">
        <v>141</v>
      </c>
      <c r="T225" s="1">
        <v>46391</v>
      </c>
      <c r="U225">
        <f t="shared" si="18"/>
        <v>105</v>
      </c>
      <c r="V225">
        <f t="shared" si="19"/>
        <v>75</v>
      </c>
      <c r="W225">
        <f t="shared" si="20"/>
        <v>30</v>
      </c>
      <c r="X225" s="5">
        <f t="shared" si="21"/>
        <v>0.2857142857142857</v>
      </c>
      <c r="Y225">
        <f t="shared" si="22"/>
        <v>2025</v>
      </c>
      <c r="Z225">
        <f t="shared" si="23"/>
        <v>11</v>
      </c>
    </row>
    <row r="226" spans="1:26" x14ac:dyDescent="0.3">
      <c r="A226" s="2">
        <v>1152</v>
      </c>
      <c r="B226" s="3">
        <v>45928</v>
      </c>
      <c r="C226" s="4" t="s">
        <v>61</v>
      </c>
      <c r="D226" s="4" t="s">
        <v>62</v>
      </c>
      <c r="E226" s="4" t="s">
        <v>63</v>
      </c>
      <c r="F226" s="4" t="s">
        <v>23</v>
      </c>
      <c r="G226" t="s">
        <v>64</v>
      </c>
      <c r="H226" s="2">
        <v>3</v>
      </c>
      <c r="I226" s="2">
        <v>12</v>
      </c>
      <c r="J226">
        <v>20</v>
      </c>
      <c r="K226">
        <v>10</v>
      </c>
      <c r="L226">
        <v>12</v>
      </c>
      <c r="M226" t="s">
        <v>43</v>
      </c>
      <c r="N226" t="s">
        <v>26</v>
      </c>
      <c r="O226">
        <v>64</v>
      </c>
      <c r="P226" t="s">
        <v>45</v>
      </c>
      <c r="Q226" t="s">
        <v>53</v>
      </c>
      <c r="R226" t="s">
        <v>22</v>
      </c>
      <c r="S226" t="s">
        <v>228</v>
      </c>
      <c r="T226" s="1">
        <v>46238</v>
      </c>
      <c r="U226">
        <f t="shared" si="18"/>
        <v>60</v>
      </c>
      <c r="V226">
        <f t="shared" si="19"/>
        <v>36</v>
      </c>
      <c r="W226">
        <f t="shared" si="20"/>
        <v>24</v>
      </c>
      <c r="X226" s="5">
        <f t="shared" si="21"/>
        <v>0.4</v>
      </c>
      <c r="Y226">
        <f t="shared" si="22"/>
        <v>2025</v>
      </c>
      <c r="Z226">
        <f t="shared" si="23"/>
        <v>9</v>
      </c>
    </row>
    <row r="227" spans="1:26" x14ac:dyDescent="0.3">
      <c r="A227" s="2">
        <v>1159</v>
      </c>
      <c r="B227" s="3">
        <v>46020</v>
      </c>
      <c r="C227" s="4" t="s">
        <v>98</v>
      </c>
      <c r="D227" s="4" t="s">
        <v>41</v>
      </c>
      <c r="E227" s="4" t="s">
        <v>33</v>
      </c>
      <c r="F227" s="4" t="s">
        <v>23</v>
      </c>
      <c r="G227" t="s">
        <v>82</v>
      </c>
      <c r="H227" s="2">
        <v>3</v>
      </c>
      <c r="I227" s="2">
        <v>22</v>
      </c>
      <c r="J227">
        <v>32</v>
      </c>
      <c r="K227">
        <v>5</v>
      </c>
      <c r="L227">
        <v>12</v>
      </c>
      <c r="M227" t="s">
        <v>35</v>
      </c>
      <c r="N227" t="s">
        <v>44</v>
      </c>
      <c r="O227">
        <v>50</v>
      </c>
      <c r="P227" t="s">
        <v>27</v>
      </c>
      <c r="Q227" t="s">
        <v>28</v>
      </c>
      <c r="R227" t="s">
        <v>38</v>
      </c>
      <c r="S227" t="s">
        <v>235</v>
      </c>
      <c r="T227" s="1">
        <v>46851</v>
      </c>
      <c r="U227">
        <f t="shared" si="18"/>
        <v>96</v>
      </c>
      <c r="V227">
        <f t="shared" si="19"/>
        <v>66</v>
      </c>
      <c r="W227">
        <f t="shared" si="20"/>
        <v>30</v>
      </c>
      <c r="X227" s="5">
        <f t="shared" si="21"/>
        <v>0.3125</v>
      </c>
      <c r="Y227">
        <f t="shared" si="22"/>
        <v>2025</v>
      </c>
      <c r="Z227">
        <f t="shared" si="23"/>
        <v>12</v>
      </c>
    </row>
    <row r="228" spans="1:26" x14ac:dyDescent="0.3">
      <c r="A228" s="2">
        <v>1167</v>
      </c>
      <c r="B228" s="3">
        <v>45859</v>
      </c>
      <c r="C228" s="4" t="s">
        <v>98</v>
      </c>
      <c r="D228" s="4" t="s">
        <v>41</v>
      </c>
      <c r="E228" s="4" t="s">
        <v>33</v>
      </c>
      <c r="F228" s="4" t="s">
        <v>23</v>
      </c>
      <c r="G228" t="s">
        <v>82</v>
      </c>
      <c r="H228" s="2">
        <v>3</v>
      </c>
      <c r="I228" s="2">
        <v>22</v>
      </c>
      <c r="J228">
        <v>32</v>
      </c>
      <c r="K228">
        <v>0</v>
      </c>
      <c r="L228">
        <v>12</v>
      </c>
      <c r="M228" t="s">
        <v>43</v>
      </c>
      <c r="N228" t="s">
        <v>44</v>
      </c>
      <c r="O228">
        <v>32</v>
      </c>
      <c r="P228" t="s">
        <v>52</v>
      </c>
      <c r="Q228" t="s">
        <v>37</v>
      </c>
      <c r="R228" t="s">
        <v>29</v>
      </c>
      <c r="S228" t="s">
        <v>243</v>
      </c>
      <c r="T228" s="1">
        <v>46287</v>
      </c>
      <c r="U228">
        <f t="shared" si="18"/>
        <v>96</v>
      </c>
      <c r="V228">
        <f t="shared" si="19"/>
        <v>66</v>
      </c>
      <c r="W228">
        <f t="shared" si="20"/>
        <v>30</v>
      </c>
      <c r="X228" s="5">
        <f t="shared" si="21"/>
        <v>0.3125</v>
      </c>
      <c r="Y228">
        <f t="shared" si="22"/>
        <v>2025</v>
      </c>
      <c r="Z228">
        <f t="shared" si="23"/>
        <v>7</v>
      </c>
    </row>
    <row r="229" spans="1:26" x14ac:dyDescent="0.3">
      <c r="A229" s="2">
        <v>1177</v>
      </c>
      <c r="B229" s="3">
        <v>45757</v>
      </c>
      <c r="C229" s="4" t="s">
        <v>105</v>
      </c>
      <c r="D229" s="4" t="s">
        <v>106</v>
      </c>
      <c r="E229" s="4" t="s">
        <v>22</v>
      </c>
      <c r="F229" s="4" t="s">
        <v>23</v>
      </c>
      <c r="G229" t="s">
        <v>51</v>
      </c>
      <c r="H229" s="2">
        <v>3</v>
      </c>
      <c r="I229" s="2">
        <v>95</v>
      </c>
      <c r="J229">
        <v>125</v>
      </c>
      <c r="K229">
        <v>10</v>
      </c>
      <c r="L229">
        <v>12</v>
      </c>
      <c r="M229" t="s">
        <v>43</v>
      </c>
      <c r="N229" t="s">
        <v>44</v>
      </c>
      <c r="O229">
        <v>70</v>
      </c>
      <c r="P229" t="s">
        <v>27</v>
      </c>
      <c r="Q229" t="s">
        <v>59</v>
      </c>
      <c r="R229" t="s">
        <v>86</v>
      </c>
      <c r="S229" t="s">
        <v>253</v>
      </c>
      <c r="T229" s="1">
        <v>46532</v>
      </c>
      <c r="U229">
        <f t="shared" si="18"/>
        <v>375</v>
      </c>
      <c r="V229">
        <f t="shared" si="19"/>
        <v>285</v>
      </c>
      <c r="W229">
        <f t="shared" si="20"/>
        <v>90</v>
      </c>
      <c r="X229" s="5">
        <f t="shared" si="21"/>
        <v>0.24</v>
      </c>
      <c r="Y229">
        <f t="shared" si="22"/>
        <v>2025</v>
      </c>
      <c r="Z229">
        <f t="shared" si="23"/>
        <v>4</v>
      </c>
    </row>
    <row r="230" spans="1:26" x14ac:dyDescent="0.3">
      <c r="A230" s="2">
        <v>1183</v>
      </c>
      <c r="B230" s="3">
        <v>46017</v>
      </c>
      <c r="C230" s="4" t="s">
        <v>108</v>
      </c>
      <c r="D230" s="4" t="s">
        <v>32</v>
      </c>
      <c r="E230" s="4" t="s">
        <v>109</v>
      </c>
      <c r="F230" s="4" t="s">
        <v>23</v>
      </c>
      <c r="G230" t="s">
        <v>82</v>
      </c>
      <c r="H230" s="2">
        <v>3</v>
      </c>
      <c r="I230" s="2">
        <v>90</v>
      </c>
      <c r="J230">
        <v>120</v>
      </c>
      <c r="K230">
        <v>0</v>
      </c>
      <c r="L230">
        <v>12</v>
      </c>
      <c r="M230" t="s">
        <v>35</v>
      </c>
      <c r="N230" t="s">
        <v>26</v>
      </c>
      <c r="O230">
        <v>50</v>
      </c>
      <c r="P230" t="s">
        <v>52</v>
      </c>
      <c r="Q230" t="s">
        <v>53</v>
      </c>
      <c r="R230" t="s">
        <v>54</v>
      </c>
      <c r="S230" t="s">
        <v>259</v>
      </c>
      <c r="T230" s="1">
        <v>46298</v>
      </c>
      <c r="U230">
        <f t="shared" si="18"/>
        <v>360</v>
      </c>
      <c r="V230">
        <f t="shared" si="19"/>
        <v>270</v>
      </c>
      <c r="W230">
        <f t="shared" si="20"/>
        <v>90</v>
      </c>
      <c r="X230" s="5">
        <f t="shared" si="21"/>
        <v>0.25</v>
      </c>
      <c r="Y230">
        <f t="shared" si="22"/>
        <v>2025</v>
      </c>
      <c r="Z230">
        <f t="shared" si="23"/>
        <v>12</v>
      </c>
    </row>
    <row r="231" spans="1:26" x14ac:dyDescent="0.3">
      <c r="A231" s="2">
        <v>1190</v>
      </c>
      <c r="B231" s="3">
        <v>45759</v>
      </c>
      <c r="C231" s="4" t="s">
        <v>105</v>
      </c>
      <c r="D231" s="4" t="s">
        <v>106</v>
      </c>
      <c r="E231" s="4" t="s">
        <v>22</v>
      </c>
      <c r="F231" s="4" t="s">
        <v>23</v>
      </c>
      <c r="G231" t="s">
        <v>51</v>
      </c>
      <c r="H231" s="2">
        <v>3</v>
      </c>
      <c r="I231" s="2">
        <v>95</v>
      </c>
      <c r="J231">
        <v>125</v>
      </c>
      <c r="K231">
        <v>0</v>
      </c>
      <c r="L231">
        <v>12</v>
      </c>
      <c r="M231" t="s">
        <v>43</v>
      </c>
      <c r="N231" t="s">
        <v>44</v>
      </c>
      <c r="O231">
        <v>66</v>
      </c>
      <c r="P231" t="s">
        <v>36</v>
      </c>
      <c r="Q231" t="s">
        <v>59</v>
      </c>
      <c r="R231" t="s">
        <v>54</v>
      </c>
      <c r="S231" t="s">
        <v>266</v>
      </c>
      <c r="T231" s="1">
        <v>46485</v>
      </c>
      <c r="U231">
        <f t="shared" si="18"/>
        <v>375</v>
      </c>
      <c r="V231">
        <f t="shared" si="19"/>
        <v>285</v>
      </c>
      <c r="W231">
        <f t="shared" si="20"/>
        <v>90</v>
      </c>
      <c r="X231" s="5">
        <f t="shared" si="21"/>
        <v>0.24</v>
      </c>
      <c r="Y231">
        <f t="shared" si="22"/>
        <v>2025</v>
      </c>
      <c r="Z231">
        <f t="shared" si="23"/>
        <v>4</v>
      </c>
    </row>
    <row r="232" spans="1:26" x14ac:dyDescent="0.3">
      <c r="A232" s="2">
        <v>1194</v>
      </c>
      <c r="B232" s="3">
        <v>45748</v>
      </c>
      <c r="C232" s="4" t="s">
        <v>40</v>
      </c>
      <c r="D232" s="4" t="s">
        <v>41</v>
      </c>
      <c r="E232" s="4" t="s">
        <v>33</v>
      </c>
      <c r="F232" s="4" t="s">
        <v>23</v>
      </c>
      <c r="G232" t="s">
        <v>42</v>
      </c>
      <c r="H232" s="2">
        <v>3</v>
      </c>
      <c r="I232" s="2">
        <v>24</v>
      </c>
      <c r="J232">
        <v>34</v>
      </c>
      <c r="K232">
        <v>0</v>
      </c>
      <c r="L232">
        <v>12</v>
      </c>
      <c r="M232" t="s">
        <v>25</v>
      </c>
      <c r="N232" t="s">
        <v>26</v>
      </c>
      <c r="O232">
        <v>30</v>
      </c>
      <c r="P232" t="s">
        <v>27</v>
      </c>
      <c r="Q232" t="s">
        <v>66</v>
      </c>
      <c r="R232" t="s">
        <v>86</v>
      </c>
      <c r="S232" t="s">
        <v>270</v>
      </c>
      <c r="T232" s="1">
        <v>45983</v>
      </c>
      <c r="U232">
        <f t="shared" si="18"/>
        <v>102</v>
      </c>
      <c r="V232">
        <f t="shared" si="19"/>
        <v>72</v>
      </c>
      <c r="W232">
        <f t="shared" si="20"/>
        <v>30</v>
      </c>
      <c r="X232" s="5">
        <f t="shared" si="21"/>
        <v>0.29411764705882354</v>
      </c>
      <c r="Y232">
        <f t="shared" si="22"/>
        <v>2025</v>
      </c>
      <c r="Z232">
        <f t="shared" si="23"/>
        <v>4</v>
      </c>
    </row>
    <row r="233" spans="1:26" x14ac:dyDescent="0.3">
      <c r="A233" s="2">
        <v>1202</v>
      </c>
      <c r="B233" s="3">
        <v>45873</v>
      </c>
      <c r="C233" s="4" t="s">
        <v>134</v>
      </c>
      <c r="D233" s="4" t="s">
        <v>21</v>
      </c>
      <c r="E233" s="4" t="s">
        <v>29</v>
      </c>
      <c r="F233" s="4" t="s">
        <v>50</v>
      </c>
      <c r="G233" t="s">
        <v>24</v>
      </c>
      <c r="H233" s="2">
        <v>3</v>
      </c>
      <c r="I233" s="2">
        <v>70</v>
      </c>
      <c r="J233">
        <v>95</v>
      </c>
      <c r="K233">
        <v>10</v>
      </c>
      <c r="L233">
        <v>12</v>
      </c>
      <c r="M233" t="s">
        <v>43</v>
      </c>
      <c r="N233" t="s">
        <v>26</v>
      </c>
      <c r="O233">
        <v>24</v>
      </c>
      <c r="P233" t="s">
        <v>36</v>
      </c>
      <c r="Q233" t="s">
        <v>59</v>
      </c>
      <c r="R233" t="s">
        <v>38</v>
      </c>
      <c r="S233" t="s">
        <v>278</v>
      </c>
      <c r="T233" s="1">
        <v>46231</v>
      </c>
      <c r="U233">
        <f t="shared" si="18"/>
        <v>285</v>
      </c>
      <c r="V233">
        <f t="shared" si="19"/>
        <v>210</v>
      </c>
      <c r="W233">
        <f t="shared" si="20"/>
        <v>75</v>
      </c>
      <c r="X233" s="5">
        <f t="shared" si="21"/>
        <v>0.26315789473684209</v>
      </c>
      <c r="Y233">
        <f t="shared" si="22"/>
        <v>2025</v>
      </c>
      <c r="Z233">
        <f t="shared" si="23"/>
        <v>8</v>
      </c>
    </row>
    <row r="234" spans="1:26" x14ac:dyDescent="0.3">
      <c r="A234" s="2">
        <v>1204</v>
      </c>
      <c r="B234" s="3">
        <v>45769</v>
      </c>
      <c r="C234" s="4" t="s">
        <v>61</v>
      </c>
      <c r="D234" s="4" t="s">
        <v>62</v>
      </c>
      <c r="E234" s="4" t="s">
        <v>63</v>
      </c>
      <c r="F234" s="4" t="s">
        <v>23</v>
      </c>
      <c r="G234" t="s">
        <v>64</v>
      </c>
      <c r="H234" s="2">
        <v>3</v>
      </c>
      <c r="I234" s="2">
        <v>12</v>
      </c>
      <c r="J234">
        <v>20</v>
      </c>
      <c r="K234">
        <v>10</v>
      </c>
      <c r="L234">
        <v>12</v>
      </c>
      <c r="M234" t="s">
        <v>35</v>
      </c>
      <c r="N234" t="s">
        <v>44</v>
      </c>
      <c r="O234">
        <v>71</v>
      </c>
      <c r="P234" t="s">
        <v>45</v>
      </c>
      <c r="Q234" t="s">
        <v>37</v>
      </c>
      <c r="R234" t="s">
        <v>86</v>
      </c>
      <c r="S234" t="s">
        <v>280</v>
      </c>
      <c r="T234" s="1">
        <v>46267</v>
      </c>
      <c r="U234">
        <f t="shared" si="18"/>
        <v>60</v>
      </c>
      <c r="V234">
        <f t="shared" si="19"/>
        <v>36</v>
      </c>
      <c r="W234">
        <f t="shared" si="20"/>
        <v>24</v>
      </c>
      <c r="X234" s="5">
        <f t="shared" si="21"/>
        <v>0.4</v>
      </c>
      <c r="Y234">
        <f t="shared" si="22"/>
        <v>2025</v>
      </c>
      <c r="Z234">
        <f t="shared" si="23"/>
        <v>4</v>
      </c>
    </row>
    <row r="235" spans="1:26" x14ac:dyDescent="0.3">
      <c r="A235" s="2">
        <v>1210</v>
      </c>
      <c r="B235" s="3">
        <v>45730</v>
      </c>
      <c r="C235" s="4" t="s">
        <v>98</v>
      </c>
      <c r="D235" s="4" t="s">
        <v>41</v>
      </c>
      <c r="E235" s="4" t="s">
        <v>33</v>
      </c>
      <c r="F235" s="4" t="s">
        <v>23</v>
      </c>
      <c r="G235" t="s">
        <v>82</v>
      </c>
      <c r="H235" s="2">
        <v>3</v>
      </c>
      <c r="I235" s="2">
        <v>22</v>
      </c>
      <c r="J235">
        <v>32</v>
      </c>
      <c r="K235">
        <v>10</v>
      </c>
      <c r="L235">
        <v>12</v>
      </c>
      <c r="M235" t="s">
        <v>43</v>
      </c>
      <c r="N235" t="s">
        <v>26</v>
      </c>
      <c r="O235">
        <v>18</v>
      </c>
      <c r="P235" t="s">
        <v>27</v>
      </c>
      <c r="Q235" t="s">
        <v>37</v>
      </c>
      <c r="R235" t="s">
        <v>54</v>
      </c>
      <c r="S235" t="s">
        <v>286</v>
      </c>
      <c r="T235" s="1">
        <v>45956</v>
      </c>
      <c r="U235">
        <f t="shared" si="18"/>
        <v>96</v>
      </c>
      <c r="V235">
        <f t="shared" si="19"/>
        <v>66</v>
      </c>
      <c r="W235">
        <f t="shared" si="20"/>
        <v>30</v>
      </c>
      <c r="X235" s="5">
        <f t="shared" si="21"/>
        <v>0.3125</v>
      </c>
      <c r="Y235">
        <f t="shared" si="22"/>
        <v>2025</v>
      </c>
      <c r="Z235">
        <f t="shared" si="23"/>
        <v>3</v>
      </c>
    </row>
    <row r="236" spans="1:26" x14ac:dyDescent="0.3">
      <c r="A236" s="2">
        <v>1217</v>
      </c>
      <c r="B236" s="3">
        <v>45823</v>
      </c>
      <c r="C236" s="4" t="s">
        <v>69</v>
      </c>
      <c r="D236" s="4" t="s">
        <v>48</v>
      </c>
      <c r="E236" s="4" t="s">
        <v>70</v>
      </c>
      <c r="F236" s="4" t="s">
        <v>50</v>
      </c>
      <c r="G236" t="s">
        <v>71</v>
      </c>
      <c r="H236" s="2">
        <v>3</v>
      </c>
      <c r="I236" s="2">
        <v>25</v>
      </c>
      <c r="J236">
        <v>38</v>
      </c>
      <c r="K236">
        <v>0</v>
      </c>
      <c r="L236">
        <v>12</v>
      </c>
      <c r="M236" t="s">
        <v>43</v>
      </c>
      <c r="N236" t="s">
        <v>26</v>
      </c>
      <c r="O236">
        <v>47</v>
      </c>
      <c r="P236" t="s">
        <v>45</v>
      </c>
      <c r="Q236" t="s">
        <v>59</v>
      </c>
      <c r="R236" t="s">
        <v>54</v>
      </c>
      <c r="S236" t="s">
        <v>293</v>
      </c>
      <c r="T236" s="1">
        <v>46162</v>
      </c>
      <c r="U236">
        <f t="shared" si="18"/>
        <v>114</v>
      </c>
      <c r="V236">
        <f t="shared" si="19"/>
        <v>75</v>
      </c>
      <c r="W236">
        <f t="shared" si="20"/>
        <v>39</v>
      </c>
      <c r="X236" s="5">
        <f t="shared" si="21"/>
        <v>0.34210526315789475</v>
      </c>
      <c r="Y236">
        <f t="shared" si="22"/>
        <v>2025</v>
      </c>
      <c r="Z236">
        <f t="shared" si="23"/>
        <v>6</v>
      </c>
    </row>
    <row r="237" spans="1:26" x14ac:dyDescent="0.3">
      <c r="A237" s="2">
        <v>1220</v>
      </c>
      <c r="B237" s="3">
        <v>45776</v>
      </c>
      <c r="C237" s="4" t="s">
        <v>69</v>
      </c>
      <c r="D237" s="4" t="s">
        <v>48</v>
      </c>
      <c r="E237" s="4" t="s">
        <v>70</v>
      </c>
      <c r="F237" s="4" t="s">
        <v>50</v>
      </c>
      <c r="G237" t="s">
        <v>71</v>
      </c>
      <c r="H237" s="2">
        <v>3</v>
      </c>
      <c r="I237" s="2">
        <v>25</v>
      </c>
      <c r="J237">
        <v>38</v>
      </c>
      <c r="K237">
        <v>5</v>
      </c>
      <c r="L237">
        <v>12</v>
      </c>
      <c r="M237" t="s">
        <v>35</v>
      </c>
      <c r="N237" t="s">
        <v>44</v>
      </c>
      <c r="O237">
        <v>56</v>
      </c>
      <c r="P237" t="s">
        <v>27</v>
      </c>
      <c r="Q237" t="s">
        <v>37</v>
      </c>
      <c r="R237" t="s">
        <v>54</v>
      </c>
      <c r="S237" t="s">
        <v>296</v>
      </c>
      <c r="T237" s="1">
        <v>46629</v>
      </c>
      <c r="U237">
        <f t="shared" si="18"/>
        <v>114</v>
      </c>
      <c r="V237">
        <f t="shared" si="19"/>
        <v>75</v>
      </c>
      <c r="W237">
        <f t="shared" si="20"/>
        <v>39</v>
      </c>
      <c r="X237" s="5">
        <f t="shared" si="21"/>
        <v>0.34210526315789475</v>
      </c>
      <c r="Y237">
        <f t="shared" si="22"/>
        <v>2025</v>
      </c>
      <c r="Z237">
        <f t="shared" si="23"/>
        <v>4</v>
      </c>
    </row>
    <row r="238" spans="1:26" x14ac:dyDescent="0.3">
      <c r="A238" s="2">
        <v>1226</v>
      </c>
      <c r="B238" s="3">
        <v>45692</v>
      </c>
      <c r="C238" s="4" t="s">
        <v>92</v>
      </c>
      <c r="D238" s="4" t="s">
        <v>48</v>
      </c>
      <c r="E238" s="4" t="s">
        <v>54</v>
      </c>
      <c r="F238" s="4" t="s">
        <v>23</v>
      </c>
      <c r="G238" t="s">
        <v>82</v>
      </c>
      <c r="H238" s="2">
        <v>3</v>
      </c>
      <c r="I238" s="2">
        <v>18</v>
      </c>
      <c r="J238">
        <v>28</v>
      </c>
      <c r="K238">
        <v>5</v>
      </c>
      <c r="L238">
        <v>12</v>
      </c>
      <c r="M238" t="s">
        <v>35</v>
      </c>
      <c r="N238" t="s">
        <v>44</v>
      </c>
      <c r="O238">
        <v>41</v>
      </c>
      <c r="P238" t="s">
        <v>45</v>
      </c>
      <c r="Q238" t="s">
        <v>37</v>
      </c>
      <c r="R238" t="s">
        <v>29</v>
      </c>
      <c r="S238" t="s">
        <v>302</v>
      </c>
      <c r="T238" s="1">
        <v>46186</v>
      </c>
      <c r="U238">
        <f t="shared" si="18"/>
        <v>84</v>
      </c>
      <c r="V238">
        <f t="shared" si="19"/>
        <v>54</v>
      </c>
      <c r="W238">
        <f t="shared" si="20"/>
        <v>30</v>
      </c>
      <c r="X238" s="5">
        <f t="shared" si="21"/>
        <v>0.35714285714285715</v>
      </c>
      <c r="Y238">
        <f t="shared" si="22"/>
        <v>2025</v>
      </c>
      <c r="Z238">
        <f t="shared" si="23"/>
        <v>2</v>
      </c>
    </row>
    <row r="239" spans="1:26" x14ac:dyDescent="0.3">
      <c r="A239" s="2">
        <v>1230</v>
      </c>
      <c r="B239" s="3">
        <v>45791</v>
      </c>
      <c r="C239" s="4" t="s">
        <v>79</v>
      </c>
      <c r="D239" s="4" t="s">
        <v>80</v>
      </c>
      <c r="E239" s="4" t="s">
        <v>81</v>
      </c>
      <c r="F239" s="4" t="s">
        <v>23</v>
      </c>
      <c r="G239" t="s">
        <v>82</v>
      </c>
      <c r="H239" s="2">
        <v>3</v>
      </c>
      <c r="I239" s="2">
        <v>80</v>
      </c>
      <c r="J239">
        <v>110</v>
      </c>
      <c r="K239">
        <v>10</v>
      </c>
      <c r="L239">
        <v>12</v>
      </c>
      <c r="M239" t="s">
        <v>35</v>
      </c>
      <c r="N239" t="s">
        <v>44</v>
      </c>
      <c r="O239">
        <v>22</v>
      </c>
      <c r="P239" t="s">
        <v>36</v>
      </c>
      <c r="Q239" t="s">
        <v>66</v>
      </c>
      <c r="R239" t="s">
        <v>22</v>
      </c>
      <c r="S239" t="s">
        <v>306</v>
      </c>
      <c r="T239" s="1">
        <v>46361</v>
      </c>
      <c r="U239">
        <f t="shared" si="18"/>
        <v>330</v>
      </c>
      <c r="V239">
        <f t="shared" si="19"/>
        <v>240</v>
      </c>
      <c r="W239">
        <f t="shared" si="20"/>
        <v>90</v>
      </c>
      <c r="X239" s="5">
        <f t="shared" si="21"/>
        <v>0.27272727272727271</v>
      </c>
      <c r="Y239">
        <f t="shared" si="22"/>
        <v>2025</v>
      </c>
      <c r="Z239">
        <f t="shared" si="23"/>
        <v>5</v>
      </c>
    </row>
    <row r="240" spans="1:26" x14ac:dyDescent="0.3">
      <c r="A240" s="2">
        <v>1240</v>
      </c>
      <c r="B240" s="3">
        <v>45752</v>
      </c>
      <c r="C240" s="4" t="s">
        <v>75</v>
      </c>
      <c r="D240" s="4" t="s">
        <v>41</v>
      </c>
      <c r="E240" s="4" t="s">
        <v>76</v>
      </c>
      <c r="F240" s="4" t="s">
        <v>23</v>
      </c>
      <c r="G240" t="s">
        <v>42</v>
      </c>
      <c r="H240" s="2">
        <v>3</v>
      </c>
      <c r="I240" s="2">
        <v>25</v>
      </c>
      <c r="J240">
        <v>35</v>
      </c>
      <c r="K240">
        <v>0</v>
      </c>
      <c r="L240">
        <v>12</v>
      </c>
      <c r="M240" t="s">
        <v>43</v>
      </c>
      <c r="N240" t="s">
        <v>44</v>
      </c>
      <c r="O240">
        <v>43</v>
      </c>
      <c r="P240" t="s">
        <v>27</v>
      </c>
      <c r="Q240" t="s">
        <v>28</v>
      </c>
      <c r="R240" t="s">
        <v>38</v>
      </c>
      <c r="S240" t="s">
        <v>316</v>
      </c>
      <c r="T240" s="1">
        <v>46518</v>
      </c>
      <c r="U240">
        <f t="shared" si="18"/>
        <v>105</v>
      </c>
      <c r="V240">
        <f t="shared" si="19"/>
        <v>75</v>
      </c>
      <c r="W240">
        <f t="shared" si="20"/>
        <v>30</v>
      </c>
      <c r="X240" s="5">
        <f t="shared" si="21"/>
        <v>0.2857142857142857</v>
      </c>
      <c r="Y240">
        <f t="shared" si="22"/>
        <v>2025</v>
      </c>
      <c r="Z240">
        <f t="shared" si="23"/>
        <v>4</v>
      </c>
    </row>
    <row r="241" spans="1:26" x14ac:dyDescent="0.3">
      <c r="A241" s="2">
        <v>1242</v>
      </c>
      <c r="B241" s="3">
        <v>45696</v>
      </c>
      <c r="C241" s="4" t="s">
        <v>31</v>
      </c>
      <c r="D241" s="4" t="s">
        <v>32</v>
      </c>
      <c r="E241" s="4" t="s">
        <v>33</v>
      </c>
      <c r="F241" s="4" t="s">
        <v>23</v>
      </c>
      <c r="G241" t="s">
        <v>34</v>
      </c>
      <c r="H241" s="2">
        <v>3</v>
      </c>
      <c r="I241" s="2">
        <v>140</v>
      </c>
      <c r="J241">
        <v>180</v>
      </c>
      <c r="K241">
        <v>5</v>
      </c>
      <c r="L241">
        <v>12</v>
      </c>
      <c r="M241" t="s">
        <v>43</v>
      </c>
      <c r="N241" t="s">
        <v>44</v>
      </c>
      <c r="O241">
        <v>58</v>
      </c>
      <c r="P241" t="s">
        <v>36</v>
      </c>
      <c r="Q241" t="s">
        <v>28</v>
      </c>
      <c r="R241" t="s">
        <v>29</v>
      </c>
      <c r="S241" t="s">
        <v>318</v>
      </c>
      <c r="T241" s="1">
        <v>45913</v>
      </c>
      <c r="U241">
        <f t="shared" si="18"/>
        <v>540</v>
      </c>
      <c r="V241">
        <f t="shared" si="19"/>
        <v>420</v>
      </c>
      <c r="W241">
        <f t="shared" si="20"/>
        <v>120</v>
      </c>
      <c r="X241" s="5">
        <f t="shared" si="21"/>
        <v>0.22222222222222221</v>
      </c>
      <c r="Y241">
        <f t="shared" si="22"/>
        <v>2025</v>
      </c>
      <c r="Z241">
        <f t="shared" si="23"/>
        <v>2</v>
      </c>
    </row>
    <row r="242" spans="1:26" x14ac:dyDescent="0.3">
      <c r="A242" s="2">
        <v>1244</v>
      </c>
      <c r="B242" s="3">
        <v>45801</v>
      </c>
      <c r="C242" s="4" t="s">
        <v>75</v>
      </c>
      <c r="D242" s="4" t="s">
        <v>41</v>
      </c>
      <c r="E242" s="4" t="s">
        <v>76</v>
      </c>
      <c r="F242" s="4" t="s">
        <v>23</v>
      </c>
      <c r="G242" t="s">
        <v>42</v>
      </c>
      <c r="H242" s="2">
        <v>3</v>
      </c>
      <c r="I242" s="2">
        <v>25</v>
      </c>
      <c r="J242">
        <v>35</v>
      </c>
      <c r="K242">
        <v>5</v>
      </c>
      <c r="L242">
        <v>12</v>
      </c>
      <c r="M242" t="s">
        <v>35</v>
      </c>
      <c r="N242" t="s">
        <v>44</v>
      </c>
      <c r="O242">
        <v>57</v>
      </c>
      <c r="P242" t="s">
        <v>52</v>
      </c>
      <c r="Q242" t="s">
        <v>37</v>
      </c>
      <c r="R242" t="s">
        <v>38</v>
      </c>
      <c r="S242" t="s">
        <v>320</v>
      </c>
      <c r="T242" s="1">
        <v>46439</v>
      </c>
      <c r="U242">
        <f t="shared" si="18"/>
        <v>105</v>
      </c>
      <c r="V242">
        <f t="shared" si="19"/>
        <v>75</v>
      </c>
      <c r="W242">
        <f t="shared" si="20"/>
        <v>30</v>
      </c>
      <c r="X242" s="5">
        <f t="shared" si="21"/>
        <v>0.2857142857142857</v>
      </c>
      <c r="Y242">
        <f t="shared" si="22"/>
        <v>2025</v>
      </c>
      <c r="Z242">
        <f t="shared" si="23"/>
        <v>5</v>
      </c>
    </row>
    <row r="243" spans="1:26" x14ac:dyDescent="0.3">
      <c r="A243" s="2">
        <v>1247</v>
      </c>
      <c r="B243" s="3">
        <v>45742</v>
      </c>
      <c r="C243" s="4" t="s">
        <v>134</v>
      </c>
      <c r="D243" s="4" t="s">
        <v>21</v>
      </c>
      <c r="E243" s="4" t="s">
        <v>29</v>
      </c>
      <c r="F243" s="4" t="s">
        <v>50</v>
      </c>
      <c r="G243" t="s">
        <v>24</v>
      </c>
      <c r="H243" s="2">
        <v>3</v>
      </c>
      <c r="I243" s="2">
        <v>70</v>
      </c>
      <c r="J243">
        <v>95</v>
      </c>
      <c r="K243">
        <v>0</v>
      </c>
      <c r="L243">
        <v>12</v>
      </c>
      <c r="M243" t="s">
        <v>35</v>
      </c>
      <c r="N243" t="s">
        <v>26</v>
      </c>
      <c r="O243">
        <v>46</v>
      </c>
      <c r="P243" t="s">
        <v>52</v>
      </c>
      <c r="Q243" t="s">
        <v>37</v>
      </c>
      <c r="R243" t="s">
        <v>22</v>
      </c>
      <c r="S243" t="s">
        <v>323</v>
      </c>
      <c r="T243" s="1">
        <v>46092</v>
      </c>
      <c r="U243">
        <f t="shared" si="18"/>
        <v>285</v>
      </c>
      <c r="V243">
        <f t="shared" si="19"/>
        <v>210</v>
      </c>
      <c r="W243">
        <f t="shared" si="20"/>
        <v>75</v>
      </c>
      <c r="X243" s="5">
        <f t="shared" si="21"/>
        <v>0.26315789473684209</v>
      </c>
      <c r="Y243">
        <f t="shared" si="22"/>
        <v>2025</v>
      </c>
      <c r="Z243">
        <f t="shared" si="23"/>
        <v>3</v>
      </c>
    </row>
    <row r="244" spans="1:26" x14ac:dyDescent="0.3">
      <c r="A244" s="2">
        <v>1256</v>
      </c>
      <c r="B244" s="3">
        <v>45979</v>
      </c>
      <c r="C244" s="4" t="s">
        <v>56</v>
      </c>
      <c r="D244" s="4" t="s">
        <v>57</v>
      </c>
      <c r="E244" s="4" t="s">
        <v>58</v>
      </c>
      <c r="F244" s="4" t="s">
        <v>23</v>
      </c>
      <c r="G244" t="s">
        <v>24</v>
      </c>
      <c r="H244" s="2">
        <v>3</v>
      </c>
      <c r="I244" s="2">
        <v>75</v>
      </c>
      <c r="J244">
        <v>100</v>
      </c>
      <c r="K244">
        <v>0</v>
      </c>
      <c r="L244">
        <v>12</v>
      </c>
      <c r="M244" t="s">
        <v>25</v>
      </c>
      <c r="N244" t="s">
        <v>26</v>
      </c>
      <c r="O244">
        <v>64</v>
      </c>
      <c r="P244" t="s">
        <v>45</v>
      </c>
      <c r="Q244" t="s">
        <v>37</v>
      </c>
      <c r="R244" t="s">
        <v>38</v>
      </c>
      <c r="S244" t="s">
        <v>331</v>
      </c>
      <c r="T244" s="1">
        <v>46377</v>
      </c>
      <c r="U244">
        <f t="shared" si="18"/>
        <v>300</v>
      </c>
      <c r="V244">
        <f t="shared" si="19"/>
        <v>225</v>
      </c>
      <c r="W244">
        <f t="shared" si="20"/>
        <v>75</v>
      </c>
      <c r="X244" s="5">
        <f t="shared" si="21"/>
        <v>0.25</v>
      </c>
      <c r="Y244">
        <f t="shared" si="22"/>
        <v>2025</v>
      </c>
      <c r="Z244">
        <f t="shared" si="23"/>
        <v>11</v>
      </c>
    </row>
    <row r="245" spans="1:26" x14ac:dyDescent="0.3">
      <c r="A245" s="2">
        <v>1257</v>
      </c>
      <c r="B245" s="3">
        <v>46016</v>
      </c>
      <c r="C245" s="4" t="s">
        <v>69</v>
      </c>
      <c r="D245" s="4" t="s">
        <v>48</v>
      </c>
      <c r="E245" s="4" t="s">
        <v>70</v>
      </c>
      <c r="F245" s="4" t="s">
        <v>50</v>
      </c>
      <c r="G245" t="s">
        <v>71</v>
      </c>
      <c r="H245" s="2">
        <v>3</v>
      </c>
      <c r="I245" s="2">
        <v>25</v>
      </c>
      <c r="J245">
        <v>38</v>
      </c>
      <c r="K245">
        <v>5</v>
      </c>
      <c r="L245">
        <v>12</v>
      </c>
      <c r="M245" t="s">
        <v>35</v>
      </c>
      <c r="N245" t="s">
        <v>26</v>
      </c>
      <c r="O245">
        <v>22</v>
      </c>
      <c r="P245" t="s">
        <v>27</v>
      </c>
      <c r="Q245" t="s">
        <v>66</v>
      </c>
      <c r="R245" t="s">
        <v>29</v>
      </c>
      <c r="S245" t="s">
        <v>332</v>
      </c>
      <c r="T245" s="1">
        <v>46505</v>
      </c>
      <c r="U245">
        <f t="shared" si="18"/>
        <v>114</v>
      </c>
      <c r="V245">
        <f t="shared" si="19"/>
        <v>75</v>
      </c>
      <c r="W245">
        <f t="shared" si="20"/>
        <v>39</v>
      </c>
      <c r="X245" s="5">
        <f t="shared" si="21"/>
        <v>0.34210526315789475</v>
      </c>
      <c r="Y245">
        <f t="shared" si="22"/>
        <v>2025</v>
      </c>
      <c r="Z245">
        <f t="shared" si="23"/>
        <v>12</v>
      </c>
    </row>
    <row r="246" spans="1:26" x14ac:dyDescent="0.3">
      <c r="A246" s="2">
        <v>1259</v>
      </c>
      <c r="B246" s="3">
        <v>45746</v>
      </c>
      <c r="C246" s="4" t="s">
        <v>84</v>
      </c>
      <c r="D246" s="4" t="s">
        <v>85</v>
      </c>
      <c r="E246" s="4" t="s">
        <v>63</v>
      </c>
      <c r="F246" s="4" t="s">
        <v>23</v>
      </c>
      <c r="G246" t="s">
        <v>82</v>
      </c>
      <c r="H246" s="2">
        <v>3</v>
      </c>
      <c r="I246" s="2">
        <v>45</v>
      </c>
      <c r="J246">
        <v>65</v>
      </c>
      <c r="K246">
        <v>0</v>
      </c>
      <c r="L246">
        <v>12</v>
      </c>
      <c r="M246" t="s">
        <v>25</v>
      </c>
      <c r="N246" t="s">
        <v>26</v>
      </c>
      <c r="O246">
        <v>40</v>
      </c>
      <c r="P246" t="s">
        <v>36</v>
      </c>
      <c r="Q246" t="s">
        <v>37</v>
      </c>
      <c r="R246" t="s">
        <v>22</v>
      </c>
      <c r="S246" t="s">
        <v>334</v>
      </c>
      <c r="T246" s="1">
        <v>46562</v>
      </c>
      <c r="U246">
        <f t="shared" si="18"/>
        <v>195</v>
      </c>
      <c r="V246">
        <f t="shared" si="19"/>
        <v>135</v>
      </c>
      <c r="W246">
        <f t="shared" si="20"/>
        <v>60</v>
      </c>
      <c r="X246" s="5">
        <f t="shared" si="21"/>
        <v>0.30769230769230771</v>
      </c>
      <c r="Y246">
        <f t="shared" si="22"/>
        <v>2025</v>
      </c>
      <c r="Z246">
        <f t="shared" si="23"/>
        <v>3</v>
      </c>
    </row>
    <row r="247" spans="1:26" x14ac:dyDescent="0.3">
      <c r="A247" s="2">
        <v>1260</v>
      </c>
      <c r="B247" s="3">
        <v>45899</v>
      </c>
      <c r="C247" s="4" t="s">
        <v>105</v>
      </c>
      <c r="D247" s="4" t="s">
        <v>106</v>
      </c>
      <c r="E247" s="4" t="s">
        <v>22</v>
      </c>
      <c r="F247" s="4" t="s">
        <v>23</v>
      </c>
      <c r="G247" t="s">
        <v>51</v>
      </c>
      <c r="H247" s="2">
        <v>3</v>
      </c>
      <c r="I247" s="2">
        <v>95</v>
      </c>
      <c r="J247">
        <v>125</v>
      </c>
      <c r="K247">
        <v>10</v>
      </c>
      <c r="L247">
        <v>12</v>
      </c>
      <c r="M247" t="s">
        <v>25</v>
      </c>
      <c r="N247" t="s">
        <v>26</v>
      </c>
      <c r="O247">
        <v>34</v>
      </c>
      <c r="P247" t="s">
        <v>27</v>
      </c>
      <c r="Q247" t="s">
        <v>53</v>
      </c>
      <c r="R247" t="s">
        <v>86</v>
      </c>
      <c r="S247" t="s">
        <v>335</v>
      </c>
      <c r="T247" s="1">
        <v>46653</v>
      </c>
      <c r="U247">
        <f t="shared" si="18"/>
        <v>375</v>
      </c>
      <c r="V247">
        <f t="shared" si="19"/>
        <v>285</v>
      </c>
      <c r="W247">
        <f t="shared" si="20"/>
        <v>90</v>
      </c>
      <c r="X247" s="5">
        <f t="shared" si="21"/>
        <v>0.24</v>
      </c>
      <c r="Y247">
        <f t="shared" si="22"/>
        <v>2025</v>
      </c>
      <c r="Z247">
        <f t="shared" si="23"/>
        <v>8</v>
      </c>
    </row>
    <row r="248" spans="1:26" x14ac:dyDescent="0.3">
      <c r="A248" s="2">
        <v>1261</v>
      </c>
      <c r="B248" s="3">
        <v>45714</v>
      </c>
      <c r="C248" s="4" t="s">
        <v>40</v>
      </c>
      <c r="D248" s="4" t="s">
        <v>41</v>
      </c>
      <c r="E248" s="4" t="s">
        <v>33</v>
      </c>
      <c r="F248" s="4" t="s">
        <v>23</v>
      </c>
      <c r="G248" t="s">
        <v>42</v>
      </c>
      <c r="H248" s="2">
        <v>3</v>
      </c>
      <c r="I248" s="2">
        <v>24</v>
      </c>
      <c r="J248">
        <v>34</v>
      </c>
      <c r="K248">
        <v>5</v>
      </c>
      <c r="L248">
        <v>12</v>
      </c>
      <c r="M248" t="s">
        <v>43</v>
      </c>
      <c r="N248" t="s">
        <v>26</v>
      </c>
      <c r="O248">
        <v>49</v>
      </c>
      <c r="P248" t="s">
        <v>52</v>
      </c>
      <c r="Q248" t="s">
        <v>59</v>
      </c>
      <c r="R248" t="s">
        <v>86</v>
      </c>
      <c r="S248" t="s">
        <v>336</v>
      </c>
      <c r="T248" s="1">
        <v>45991</v>
      </c>
      <c r="U248">
        <f t="shared" si="18"/>
        <v>102</v>
      </c>
      <c r="V248">
        <f t="shared" si="19"/>
        <v>72</v>
      </c>
      <c r="W248">
        <f t="shared" si="20"/>
        <v>30</v>
      </c>
      <c r="X248" s="5">
        <f t="shared" si="21"/>
        <v>0.29411764705882354</v>
      </c>
      <c r="Y248">
        <f t="shared" si="22"/>
        <v>2025</v>
      </c>
      <c r="Z248">
        <f t="shared" si="23"/>
        <v>2</v>
      </c>
    </row>
    <row r="249" spans="1:26" x14ac:dyDescent="0.3">
      <c r="A249" s="2">
        <v>1263</v>
      </c>
      <c r="B249" s="3">
        <v>45710</v>
      </c>
      <c r="C249" s="4" t="s">
        <v>98</v>
      </c>
      <c r="D249" s="4" t="s">
        <v>41</v>
      </c>
      <c r="E249" s="4" t="s">
        <v>33</v>
      </c>
      <c r="F249" s="4" t="s">
        <v>23</v>
      </c>
      <c r="G249" t="s">
        <v>82</v>
      </c>
      <c r="H249" s="2">
        <v>3</v>
      </c>
      <c r="I249" s="2">
        <v>22</v>
      </c>
      <c r="J249">
        <v>32</v>
      </c>
      <c r="K249">
        <v>10</v>
      </c>
      <c r="L249">
        <v>12</v>
      </c>
      <c r="M249" t="s">
        <v>43</v>
      </c>
      <c r="N249" t="s">
        <v>26</v>
      </c>
      <c r="O249">
        <v>47</v>
      </c>
      <c r="P249" t="s">
        <v>52</v>
      </c>
      <c r="Q249" t="s">
        <v>66</v>
      </c>
      <c r="R249" t="s">
        <v>54</v>
      </c>
      <c r="S249" t="s">
        <v>338</v>
      </c>
      <c r="T249" s="1">
        <v>46237</v>
      </c>
      <c r="U249">
        <f t="shared" si="18"/>
        <v>96</v>
      </c>
      <c r="V249">
        <f t="shared" si="19"/>
        <v>66</v>
      </c>
      <c r="W249">
        <f t="shared" si="20"/>
        <v>30</v>
      </c>
      <c r="X249" s="5">
        <f t="shared" si="21"/>
        <v>0.3125</v>
      </c>
      <c r="Y249">
        <f t="shared" si="22"/>
        <v>2025</v>
      </c>
      <c r="Z249">
        <f t="shared" si="23"/>
        <v>2</v>
      </c>
    </row>
    <row r="250" spans="1:26" x14ac:dyDescent="0.3">
      <c r="A250" s="2">
        <v>1268</v>
      </c>
      <c r="B250" s="3">
        <v>45969</v>
      </c>
      <c r="C250" s="4" t="s">
        <v>75</v>
      </c>
      <c r="D250" s="4" t="s">
        <v>41</v>
      </c>
      <c r="E250" s="4" t="s">
        <v>76</v>
      </c>
      <c r="F250" s="4" t="s">
        <v>23</v>
      </c>
      <c r="G250" t="s">
        <v>42</v>
      </c>
      <c r="H250" s="2">
        <v>3</v>
      </c>
      <c r="I250" s="2">
        <v>25</v>
      </c>
      <c r="J250">
        <v>35</v>
      </c>
      <c r="K250">
        <v>5</v>
      </c>
      <c r="L250">
        <v>12</v>
      </c>
      <c r="M250" t="s">
        <v>35</v>
      </c>
      <c r="N250" t="s">
        <v>26</v>
      </c>
      <c r="O250">
        <v>53</v>
      </c>
      <c r="P250" t="s">
        <v>52</v>
      </c>
      <c r="Q250" t="s">
        <v>53</v>
      </c>
      <c r="R250" t="s">
        <v>29</v>
      </c>
      <c r="S250" t="s">
        <v>343</v>
      </c>
      <c r="T250" s="1">
        <v>46849</v>
      </c>
      <c r="U250">
        <f t="shared" si="18"/>
        <v>105</v>
      </c>
      <c r="V250">
        <f t="shared" si="19"/>
        <v>75</v>
      </c>
      <c r="W250">
        <f t="shared" si="20"/>
        <v>30</v>
      </c>
      <c r="X250" s="5">
        <f t="shared" si="21"/>
        <v>0.2857142857142857</v>
      </c>
      <c r="Y250">
        <f t="shared" si="22"/>
        <v>2025</v>
      </c>
      <c r="Z250">
        <f t="shared" si="23"/>
        <v>11</v>
      </c>
    </row>
    <row r="251" spans="1:26" x14ac:dyDescent="0.3">
      <c r="A251" s="2">
        <v>1269</v>
      </c>
      <c r="B251" s="3">
        <v>45856</v>
      </c>
      <c r="C251" s="4" t="s">
        <v>20</v>
      </c>
      <c r="D251" s="4" t="s">
        <v>21</v>
      </c>
      <c r="E251" s="4" t="s">
        <v>22</v>
      </c>
      <c r="F251" s="4" t="s">
        <v>23</v>
      </c>
      <c r="G251" t="s">
        <v>24</v>
      </c>
      <c r="H251" s="2">
        <v>3</v>
      </c>
      <c r="I251" s="2">
        <v>60</v>
      </c>
      <c r="J251">
        <v>85</v>
      </c>
      <c r="K251">
        <v>0</v>
      </c>
      <c r="L251">
        <v>12</v>
      </c>
      <c r="M251" t="s">
        <v>25</v>
      </c>
      <c r="N251" t="s">
        <v>26</v>
      </c>
      <c r="O251">
        <v>49</v>
      </c>
      <c r="P251" t="s">
        <v>45</v>
      </c>
      <c r="Q251" t="s">
        <v>59</v>
      </c>
      <c r="R251" t="s">
        <v>86</v>
      </c>
      <c r="S251" t="s">
        <v>344</v>
      </c>
      <c r="T251" s="1">
        <v>46175</v>
      </c>
      <c r="U251">
        <f t="shared" si="18"/>
        <v>255</v>
      </c>
      <c r="V251">
        <f t="shared" si="19"/>
        <v>180</v>
      </c>
      <c r="W251">
        <f t="shared" si="20"/>
        <v>75</v>
      </c>
      <c r="X251" s="5">
        <f t="shared" si="21"/>
        <v>0.29411764705882354</v>
      </c>
      <c r="Y251">
        <f t="shared" si="22"/>
        <v>2025</v>
      </c>
      <c r="Z251">
        <f t="shared" si="23"/>
        <v>7</v>
      </c>
    </row>
    <row r="252" spans="1:26" x14ac:dyDescent="0.3">
      <c r="A252" s="2">
        <v>1271</v>
      </c>
      <c r="B252" s="3">
        <v>45810</v>
      </c>
      <c r="C252" s="4" t="s">
        <v>79</v>
      </c>
      <c r="D252" s="4" t="s">
        <v>80</v>
      </c>
      <c r="E252" s="4" t="s">
        <v>81</v>
      </c>
      <c r="F252" s="4" t="s">
        <v>23</v>
      </c>
      <c r="G252" t="s">
        <v>82</v>
      </c>
      <c r="H252" s="2">
        <v>3</v>
      </c>
      <c r="I252" s="2">
        <v>80</v>
      </c>
      <c r="J252">
        <v>110</v>
      </c>
      <c r="K252">
        <v>5</v>
      </c>
      <c r="L252">
        <v>12</v>
      </c>
      <c r="M252" t="s">
        <v>25</v>
      </c>
      <c r="N252" t="s">
        <v>26</v>
      </c>
      <c r="O252">
        <v>64</v>
      </c>
      <c r="P252" t="s">
        <v>52</v>
      </c>
      <c r="Q252" t="s">
        <v>37</v>
      </c>
      <c r="R252" t="s">
        <v>22</v>
      </c>
      <c r="S252" t="s">
        <v>346</v>
      </c>
      <c r="T252" s="1">
        <v>46538</v>
      </c>
      <c r="U252">
        <f t="shared" si="18"/>
        <v>330</v>
      </c>
      <c r="V252">
        <f t="shared" si="19"/>
        <v>240</v>
      </c>
      <c r="W252">
        <f t="shared" si="20"/>
        <v>90</v>
      </c>
      <c r="X252" s="5">
        <f t="shared" si="21"/>
        <v>0.27272727272727271</v>
      </c>
      <c r="Y252">
        <f t="shared" si="22"/>
        <v>2025</v>
      </c>
      <c r="Z252">
        <f t="shared" si="23"/>
        <v>6</v>
      </c>
    </row>
    <row r="253" spans="1:26" x14ac:dyDescent="0.3">
      <c r="A253" s="2">
        <v>1274</v>
      </c>
      <c r="B253" s="3">
        <v>45711</v>
      </c>
      <c r="C253" s="4" t="s">
        <v>47</v>
      </c>
      <c r="D253" s="4" t="s">
        <v>48</v>
      </c>
      <c r="E253" s="4" t="s">
        <v>49</v>
      </c>
      <c r="F253" s="4" t="s">
        <v>50</v>
      </c>
      <c r="G253" t="s">
        <v>51</v>
      </c>
      <c r="H253" s="2">
        <v>3</v>
      </c>
      <c r="I253" s="2">
        <v>35</v>
      </c>
      <c r="J253">
        <v>50</v>
      </c>
      <c r="K253">
        <v>0</v>
      </c>
      <c r="L253">
        <v>12</v>
      </c>
      <c r="M253" t="s">
        <v>25</v>
      </c>
      <c r="N253" t="s">
        <v>26</v>
      </c>
      <c r="O253">
        <v>55</v>
      </c>
      <c r="P253" t="s">
        <v>27</v>
      </c>
      <c r="Q253" t="s">
        <v>28</v>
      </c>
      <c r="R253" t="s">
        <v>86</v>
      </c>
      <c r="S253" t="s">
        <v>349</v>
      </c>
      <c r="T253" s="1">
        <v>46056</v>
      </c>
      <c r="U253">
        <f t="shared" si="18"/>
        <v>150</v>
      </c>
      <c r="V253">
        <f t="shared" si="19"/>
        <v>105</v>
      </c>
      <c r="W253">
        <f t="shared" si="20"/>
        <v>45</v>
      </c>
      <c r="X253" s="5">
        <f t="shared" si="21"/>
        <v>0.3</v>
      </c>
      <c r="Y253">
        <f t="shared" si="22"/>
        <v>2025</v>
      </c>
      <c r="Z253">
        <f t="shared" si="23"/>
        <v>2</v>
      </c>
    </row>
    <row r="254" spans="1:26" x14ac:dyDescent="0.3">
      <c r="A254" s="2">
        <v>1278</v>
      </c>
      <c r="B254" s="3">
        <v>45816</v>
      </c>
      <c r="C254" s="4" t="s">
        <v>79</v>
      </c>
      <c r="D254" s="4" t="s">
        <v>80</v>
      </c>
      <c r="E254" s="4" t="s">
        <v>81</v>
      </c>
      <c r="F254" s="4" t="s">
        <v>23</v>
      </c>
      <c r="G254" t="s">
        <v>82</v>
      </c>
      <c r="H254" s="2">
        <v>3</v>
      </c>
      <c r="I254" s="2">
        <v>80</v>
      </c>
      <c r="J254">
        <v>110</v>
      </c>
      <c r="K254">
        <v>5</v>
      </c>
      <c r="L254">
        <v>12</v>
      </c>
      <c r="M254" t="s">
        <v>43</v>
      </c>
      <c r="N254" t="s">
        <v>26</v>
      </c>
      <c r="O254">
        <v>23</v>
      </c>
      <c r="P254" t="s">
        <v>27</v>
      </c>
      <c r="Q254" t="s">
        <v>37</v>
      </c>
      <c r="R254" t="s">
        <v>54</v>
      </c>
      <c r="S254" t="s">
        <v>353</v>
      </c>
      <c r="T254" s="1">
        <v>46082</v>
      </c>
      <c r="U254">
        <f t="shared" si="18"/>
        <v>330</v>
      </c>
      <c r="V254">
        <f t="shared" si="19"/>
        <v>240</v>
      </c>
      <c r="W254">
        <f t="shared" si="20"/>
        <v>90</v>
      </c>
      <c r="X254" s="5">
        <f t="shared" si="21"/>
        <v>0.27272727272727271</v>
      </c>
      <c r="Y254">
        <f t="shared" si="22"/>
        <v>2025</v>
      </c>
      <c r="Z254">
        <f t="shared" si="23"/>
        <v>6</v>
      </c>
    </row>
    <row r="255" spans="1:26" x14ac:dyDescent="0.3">
      <c r="A255" s="2">
        <v>1308</v>
      </c>
      <c r="B255" s="3">
        <v>45842</v>
      </c>
      <c r="C255" s="4" t="s">
        <v>31</v>
      </c>
      <c r="D255" s="4" t="s">
        <v>32</v>
      </c>
      <c r="E255" s="4" t="s">
        <v>33</v>
      </c>
      <c r="F255" s="4" t="s">
        <v>23</v>
      </c>
      <c r="G255" t="s">
        <v>34</v>
      </c>
      <c r="H255" s="2">
        <v>3</v>
      </c>
      <c r="I255" s="2">
        <v>140</v>
      </c>
      <c r="J255">
        <v>180</v>
      </c>
      <c r="K255">
        <v>5</v>
      </c>
      <c r="L255">
        <v>12</v>
      </c>
      <c r="M255" t="s">
        <v>43</v>
      </c>
      <c r="N255" t="s">
        <v>26</v>
      </c>
      <c r="O255">
        <v>61</v>
      </c>
      <c r="P255" t="s">
        <v>36</v>
      </c>
      <c r="Q255" t="s">
        <v>66</v>
      </c>
      <c r="R255" t="s">
        <v>22</v>
      </c>
      <c r="S255" t="s">
        <v>383</v>
      </c>
      <c r="T255" s="1">
        <v>46084</v>
      </c>
      <c r="U255">
        <f t="shared" si="18"/>
        <v>540</v>
      </c>
      <c r="V255">
        <f t="shared" si="19"/>
        <v>420</v>
      </c>
      <c r="W255">
        <f t="shared" si="20"/>
        <v>120</v>
      </c>
      <c r="X255" s="5">
        <f t="shared" si="21"/>
        <v>0.22222222222222221</v>
      </c>
      <c r="Y255">
        <f t="shared" si="22"/>
        <v>2025</v>
      </c>
      <c r="Z255">
        <f t="shared" si="23"/>
        <v>7</v>
      </c>
    </row>
    <row r="256" spans="1:26" x14ac:dyDescent="0.3">
      <c r="A256" s="2">
        <v>1309</v>
      </c>
      <c r="B256" s="3">
        <v>45923</v>
      </c>
      <c r="C256" s="4" t="s">
        <v>92</v>
      </c>
      <c r="D256" s="4" t="s">
        <v>48</v>
      </c>
      <c r="E256" s="4" t="s">
        <v>54</v>
      </c>
      <c r="F256" s="4" t="s">
        <v>23</v>
      </c>
      <c r="G256" t="s">
        <v>82</v>
      </c>
      <c r="H256" s="2">
        <v>3</v>
      </c>
      <c r="I256" s="2">
        <v>18</v>
      </c>
      <c r="J256">
        <v>28</v>
      </c>
      <c r="K256">
        <v>5</v>
      </c>
      <c r="L256">
        <v>12</v>
      </c>
      <c r="M256" t="s">
        <v>43</v>
      </c>
      <c r="N256" t="s">
        <v>44</v>
      </c>
      <c r="O256">
        <v>56</v>
      </c>
      <c r="P256" t="s">
        <v>45</v>
      </c>
      <c r="Q256" t="s">
        <v>66</v>
      </c>
      <c r="R256" t="s">
        <v>86</v>
      </c>
      <c r="S256" t="s">
        <v>384</v>
      </c>
      <c r="T256" s="1">
        <v>46305</v>
      </c>
      <c r="U256">
        <f t="shared" si="18"/>
        <v>84</v>
      </c>
      <c r="V256">
        <f t="shared" si="19"/>
        <v>54</v>
      </c>
      <c r="W256">
        <f t="shared" si="20"/>
        <v>30</v>
      </c>
      <c r="X256" s="5">
        <f t="shared" si="21"/>
        <v>0.35714285714285715</v>
      </c>
      <c r="Y256">
        <f t="shared" si="22"/>
        <v>2025</v>
      </c>
      <c r="Z256">
        <f t="shared" si="23"/>
        <v>9</v>
      </c>
    </row>
    <row r="257" spans="1:26" x14ac:dyDescent="0.3">
      <c r="A257" s="2">
        <v>1311</v>
      </c>
      <c r="B257" s="3">
        <v>46004</v>
      </c>
      <c r="C257" s="4" t="s">
        <v>92</v>
      </c>
      <c r="D257" s="4" t="s">
        <v>48</v>
      </c>
      <c r="E257" s="4" t="s">
        <v>54</v>
      </c>
      <c r="F257" s="4" t="s">
        <v>23</v>
      </c>
      <c r="G257" t="s">
        <v>82</v>
      </c>
      <c r="H257" s="2">
        <v>3</v>
      </c>
      <c r="I257" s="2">
        <v>18</v>
      </c>
      <c r="J257">
        <v>28</v>
      </c>
      <c r="K257">
        <v>5</v>
      </c>
      <c r="L257">
        <v>12</v>
      </c>
      <c r="M257" t="s">
        <v>43</v>
      </c>
      <c r="N257" t="s">
        <v>26</v>
      </c>
      <c r="O257">
        <v>69</v>
      </c>
      <c r="P257" t="s">
        <v>36</v>
      </c>
      <c r="Q257" t="s">
        <v>59</v>
      </c>
      <c r="R257" t="s">
        <v>38</v>
      </c>
      <c r="S257" t="s">
        <v>386</v>
      </c>
      <c r="T257" s="1">
        <v>46704</v>
      </c>
      <c r="U257">
        <f t="shared" si="18"/>
        <v>84</v>
      </c>
      <c r="V257">
        <f t="shared" si="19"/>
        <v>54</v>
      </c>
      <c r="W257">
        <f t="shared" si="20"/>
        <v>30</v>
      </c>
      <c r="X257" s="5">
        <f t="shared" si="21"/>
        <v>0.35714285714285715</v>
      </c>
      <c r="Y257">
        <f t="shared" si="22"/>
        <v>2025</v>
      </c>
      <c r="Z257">
        <f t="shared" si="23"/>
        <v>12</v>
      </c>
    </row>
    <row r="258" spans="1:26" x14ac:dyDescent="0.3">
      <c r="A258" s="2">
        <v>1318</v>
      </c>
      <c r="B258" s="3">
        <v>45837</v>
      </c>
      <c r="C258" s="4" t="s">
        <v>75</v>
      </c>
      <c r="D258" s="4" t="s">
        <v>41</v>
      </c>
      <c r="E258" s="4" t="s">
        <v>76</v>
      </c>
      <c r="F258" s="4" t="s">
        <v>23</v>
      </c>
      <c r="G258" t="s">
        <v>42</v>
      </c>
      <c r="H258" s="2">
        <v>3</v>
      </c>
      <c r="I258" s="2">
        <v>25</v>
      </c>
      <c r="J258">
        <v>35</v>
      </c>
      <c r="K258">
        <v>5</v>
      </c>
      <c r="L258">
        <v>12</v>
      </c>
      <c r="M258" t="s">
        <v>35</v>
      </c>
      <c r="N258" t="s">
        <v>26</v>
      </c>
      <c r="O258">
        <v>41</v>
      </c>
      <c r="P258" t="s">
        <v>45</v>
      </c>
      <c r="Q258" t="s">
        <v>59</v>
      </c>
      <c r="R258" t="s">
        <v>22</v>
      </c>
      <c r="S258" t="s">
        <v>392</v>
      </c>
      <c r="T258" s="1">
        <v>46235</v>
      </c>
      <c r="U258">
        <f t="shared" si="18"/>
        <v>105</v>
      </c>
      <c r="V258">
        <f t="shared" si="19"/>
        <v>75</v>
      </c>
      <c r="W258">
        <f t="shared" si="20"/>
        <v>30</v>
      </c>
      <c r="X258" s="5">
        <f t="shared" si="21"/>
        <v>0.2857142857142857</v>
      </c>
      <c r="Y258">
        <f t="shared" si="22"/>
        <v>2025</v>
      </c>
      <c r="Z258">
        <f t="shared" si="23"/>
        <v>6</v>
      </c>
    </row>
    <row r="259" spans="1:26" x14ac:dyDescent="0.3">
      <c r="A259" s="2">
        <v>1323</v>
      </c>
      <c r="B259" s="3">
        <v>45885</v>
      </c>
      <c r="C259" s="4" t="s">
        <v>75</v>
      </c>
      <c r="D259" s="4" t="s">
        <v>41</v>
      </c>
      <c r="E259" s="4" t="s">
        <v>76</v>
      </c>
      <c r="F259" s="4" t="s">
        <v>23</v>
      </c>
      <c r="G259" t="s">
        <v>42</v>
      </c>
      <c r="H259" s="2">
        <v>3</v>
      </c>
      <c r="I259" s="2">
        <v>25</v>
      </c>
      <c r="J259">
        <v>35</v>
      </c>
      <c r="K259">
        <v>10</v>
      </c>
      <c r="L259">
        <v>12</v>
      </c>
      <c r="M259" t="s">
        <v>25</v>
      </c>
      <c r="N259" t="s">
        <v>44</v>
      </c>
      <c r="O259">
        <v>62</v>
      </c>
      <c r="P259" t="s">
        <v>36</v>
      </c>
      <c r="Q259" t="s">
        <v>37</v>
      </c>
      <c r="R259" t="s">
        <v>22</v>
      </c>
      <c r="S259" t="s">
        <v>397</v>
      </c>
      <c r="T259" s="1">
        <v>46566</v>
      </c>
      <c r="U259">
        <f t="shared" ref="U259:U322" si="24">(H259*J259)</f>
        <v>105</v>
      </c>
      <c r="V259">
        <f t="shared" ref="V259:V322" si="25">(H259*I259)</f>
        <v>75</v>
      </c>
      <c r="W259">
        <f t="shared" ref="W259:W322" si="26">(U259-V259)</f>
        <v>30</v>
      </c>
      <c r="X259" s="5">
        <f t="shared" ref="X259:X322" si="27">(W259/U259)</f>
        <v>0.2857142857142857</v>
      </c>
      <c r="Y259">
        <f t="shared" ref="Y259:Y322" si="28">YEAR(B259)</f>
        <v>2025</v>
      </c>
      <c r="Z259">
        <f t="shared" ref="Z259:Z322" si="29">MONTH(B259)</f>
        <v>8</v>
      </c>
    </row>
    <row r="260" spans="1:26" x14ac:dyDescent="0.3">
      <c r="A260" s="2">
        <v>1329</v>
      </c>
      <c r="B260" s="3">
        <v>45955</v>
      </c>
      <c r="C260" s="4" t="s">
        <v>40</v>
      </c>
      <c r="D260" s="4" t="s">
        <v>41</v>
      </c>
      <c r="E260" s="4" t="s">
        <v>33</v>
      </c>
      <c r="F260" s="4" t="s">
        <v>23</v>
      </c>
      <c r="G260" t="s">
        <v>42</v>
      </c>
      <c r="H260" s="2">
        <v>3</v>
      </c>
      <c r="I260" s="2">
        <v>24</v>
      </c>
      <c r="J260">
        <v>34</v>
      </c>
      <c r="K260">
        <v>10</v>
      </c>
      <c r="L260">
        <v>12</v>
      </c>
      <c r="M260" t="s">
        <v>25</v>
      </c>
      <c r="N260" t="s">
        <v>44</v>
      </c>
      <c r="O260">
        <v>65</v>
      </c>
      <c r="P260" t="s">
        <v>36</v>
      </c>
      <c r="Q260" t="s">
        <v>28</v>
      </c>
      <c r="R260" t="s">
        <v>86</v>
      </c>
      <c r="S260" t="s">
        <v>402</v>
      </c>
      <c r="T260" s="1">
        <v>46386</v>
      </c>
      <c r="U260">
        <f t="shared" si="24"/>
        <v>102</v>
      </c>
      <c r="V260">
        <f t="shared" si="25"/>
        <v>72</v>
      </c>
      <c r="W260">
        <f t="shared" si="26"/>
        <v>30</v>
      </c>
      <c r="X260" s="5">
        <f t="shared" si="27"/>
        <v>0.29411764705882354</v>
      </c>
      <c r="Y260">
        <f t="shared" si="28"/>
        <v>2025</v>
      </c>
      <c r="Z260">
        <f t="shared" si="29"/>
        <v>10</v>
      </c>
    </row>
    <row r="261" spans="1:26" x14ac:dyDescent="0.3">
      <c r="A261" s="2">
        <v>1332</v>
      </c>
      <c r="B261" s="3">
        <v>45958</v>
      </c>
      <c r="C261" s="4" t="s">
        <v>75</v>
      </c>
      <c r="D261" s="4" t="s">
        <v>41</v>
      </c>
      <c r="E261" s="4" t="s">
        <v>76</v>
      </c>
      <c r="F261" s="4" t="s">
        <v>23</v>
      </c>
      <c r="G261" t="s">
        <v>42</v>
      </c>
      <c r="H261" s="2">
        <v>3</v>
      </c>
      <c r="I261" s="2">
        <v>25</v>
      </c>
      <c r="J261">
        <v>35</v>
      </c>
      <c r="K261">
        <v>5</v>
      </c>
      <c r="L261">
        <v>12</v>
      </c>
      <c r="M261" t="s">
        <v>35</v>
      </c>
      <c r="N261" t="s">
        <v>44</v>
      </c>
      <c r="O261">
        <v>33</v>
      </c>
      <c r="P261" t="s">
        <v>36</v>
      </c>
      <c r="Q261" t="s">
        <v>37</v>
      </c>
      <c r="R261" t="s">
        <v>22</v>
      </c>
      <c r="S261" t="s">
        <v>405</v>
      </c>
      <c r="T261" s="1">
        <v>46498</v>
      </c>
      <c r="U261">
        <f t="shared" si="24"/>
        <v>105</v>
      </c>
      <c r="V261">
        <f t="shared" si="25"/>
        <v>75</v>
      </c>
      <c r="W261">
        <f t="shared" si="26"/>
        <v>30</v>
      </c>
      <c r="X261" s="5">
        <f t="shared" si="27"/>
        <v>0.2857142857142857</v>
      </c>
      <c r="Y261">
        <f t="shared" si="28"/>
        <v>2025</v>
      </c>
      <c r="Z261">
        <f t="shared" si="29"/>
        <v>10</v>
      </c>
    </row>
    <row r="262" spans="1:26" x14ac:dyDescent="0.3">
      <c r="A262" s="2">
        <v>1333</v>
      </c>
      <c r="B262" s="3">
        <v>45839</v>
      </c>
      <c r="C262" s="4" t="s">
        <v>20</v>
      </c>
      <c r="D262" s="4" t="s">
        <v>21</v>
      </c>
      <c r="E262" s="4" t="s">
        <v>22</v>
      </c>
      <c r="F262" s="4" t="s">
        <v>23</v>
      </c>
      <c r="G262" t="s">
        <v>24</v>
      </c>
      <c r="H262" s="2">
        <v>3</v>
      </c>
      <c r="I262" s="2">
        <v>60</v>
      </c>
      <c r="J262">
        <v>85</v>
      </c>
      <c r="K262">
        <v>5</v>
      </c>
      <c r="L262">
        <v>12</v>
      </c>
      <c r="M262" t="s">
        <v>43</v>
      </c>
      <c r="N262" t="s">
        <v>44</v>
      </c>
      <c r="O262">
        <v>57</v>
      </c>
      <c r="P262" t="s">
        <v>36</v>
      </c>
      <c r="Q262" t="s">
        <v>59</v>
      </c>
      <c r="R262" t="s">
        <v>86</v>
      </c>
      <c r="S262" t="s">
        <v>406</v>
      </c>
      <c r="T262" s="1">
        <v>46356</v>
      </c>
      <c r="U262">
        <f t="shared" si="24"/>
        <v>255</v>
      </c>
      <c r="V262">
        <f t="shared" si="25"/>
        <v>180</v>
      </c>
      <c r="W262">
        <f t="shared" si="26"/>
        <v>75</v>
      </c>
      <c r="X262" s="5">
        <f t="shared" si="27"/>
        <v>0.29411764705882354</v>
      </c>
      <c r="Y262">
        <f t="shared" si="28"/>
        <v>2025</v>
      </c>
      <c r="Z262">
        <f t="shared" si="29"/>
        <v>7</v>
      </c>
    </row>
    <row r="263" spans="1:26" x14ac:dyDescent="0.3">
      <c r="A263" s="2">
        <v>1334</v>
      </c>
      <c r="B263" s="3">
        <v>45919</v>
      </c>
      <c r="C263" s="4" t="s">
        <v>98</v>
      </c>
      <c r="D263" s="4" t="s">
        <v>41</v>
      </c>
      <c r="E263" s="4" t="s">
        <v>33</v>
      </c>
      <c r="F263" s="4" t="s">
        <v>23</v>
      </c>
      <c r="G263" t="s">
        <v>82</v>
      </c>
      <c r="H263" s="2">
        <v>3</v>
      </c>
      <c r="I263" s="2">
        <v>22</v>
      </c>
      <c r="J263">
        <v>32</v>
      </c>
      <c r="K263">
        <v>0</v>
      </c>
      <c r="L263">
        <v>12</v>
      </c>
      <c r="M263" t="s">
        <v>25</v>
      </c>
      <c r="N263" t="s">
        <v>26</v>
      </c>
      <c r="O263">
        <v>64</v>
      </c>
      <c r="P263" t="s">
        <v>52</v>
      </c>
      <c r="Q263" t="s">
        <v>28</v>
      </c>
      <c r="R263" t="s">
        <v>86</v>
      </c>
      <c r="S263" t="s">
        <v>407</v>
      </c>
      <c r="T263" s="1">
        <v>46109</v>
      </c>
      <c r="U263">
        <f t="shared" si="24"/>
        <v>96</v>
      </c>
      <c r="V263">
        <f t="shared" si="25"/>
        <v>66</v>
      </c>
      <c r="W263">
        <f t="shared" si="26"/>
        <v>30</v>
      </c>
      <c r="X263" s="5">
        <f t="shared" si="27"/>
        <v>0.3125</v>
      </c>
      <c r="Y263">
        <f t="shared" si="28"/>
        <v>2025</v>
      </c>
      <c r="Z263">
        <f t="shared" si="29"/>
        <v>9</v>
      </c>
    </row>
    <row r="264" spans="1:26" x14ac:dyDescent="0.3">
      <c r="A264" s="2">
        <v>1338</v>
      </c>
      <c r="B264" s="3">
        <v>45876</v>
      </c>
      <c r="C264" s="4" t="s">
        <v>40</v>
      </c>
      <c r="D264" s="4" t="s">
        <v>41</v>
      </c>
      <c r="E264" s="4" t="s">
        <v>33</v>
      </c>
      <c r="F264" s="4" t="s">
        <v>23</v>
      </c>
      <c r="G264" t="s">
        <v>42</v>
      </c>
      <c r="H264" s="2">
        <v>3</v>
      </c>
      <c r="I264" s="2">
        <v>24</v>
      </c>
      <c r="J264">
        <v>34</v>
      </c>
      <c r="K264">
        <v>10</v>
      </c>
      <c r="L264">
        <v>12</v>
      </c>
      <c r="M264" t="s">
        <v>43</v>
      </c>
      <c r="N264" t="s">
        <v>44</v>
      </c>
      <c r="O264">
        <v>30</v>
      </c>
      <c r="P264" t="s">
        <v>36</v>
      </c>
      <c r="Q264" t="s">
        <v>28</v>
      </c>
      <c r="R264" t="s">
        <v>22</v>
      </c>
      <c r="S264" t="s">
        <v>410</v>
      </c>
      <c r="T264" s="1">
        <v>46648</v>
      </c>
      <c r="U264">
        <f t="shared" si="24"/>
        <v>102</v>
      </c>
      <c r="V264">
        <f t="shared" si="25"/>
        <v>72</v>
      </c>
      <c r="W264">
        <f t="shared" si="26"/>
        <v>30</v>
      </c>
      <c r="X264" s="5">
        <f t="shared" si="27"/>
        <v>0.29411764705882354</v>
      </c>
      <c r="Y264">
        <f t="shared" si="28"/>
        <v>2025</v>
      </c>
      <c r="Z264">
        <f t="shared" si="29"/>
        <v>8</v>
      </c>
    </row>
    <row r="265" spans="1:26" x14ac:dyDescent="0.3">
      <c r="A265" s="2">
        <v>1343</v>
      </c>
      <c r="B265" s="3">
        <v>45714</v>
      </c>
      <c r="C265" s="4" t="s">
        <v>105</v>
      </c>
      <c r="D265" s="4" t="s">
        <v>106</v>
      </c>
      <c r="E265" s="4" t="s">
        <v>22</v>
      </c>
      <c r="F265" s="4" t="s">
        <v>23</v>
      </c>
      <c r="G265" t="s">
        <v>51</v>
      </c>
      <c r="H265" s="2">
        <v>3</v>
      </c>
      <c r="I265" s="2">
        <v>95</v>
      </c>
      <c r="J265">
        <v>125</v>
      </c>
      <c r="K265">
        <v>5</v>
      </c>
      <c r="L265">
        <v>12</v>
      </c>
      <c r="M265" t="s">
        <v>25</v>
      </c>
      <c r="N265" t="s">
        <v>44</v>
      </c>
      <c r="O265">
        <v>50</v>
      </c>
      <c r="P265" t="s">
        <v>36</v>
      </c>
      <c r="Q265" t="s">
        <v>59</v>
      </c>
      <c r="R265" t="s">
        <v>38</v>
      </c>
      <c r="S265" t="s">
        <v>415</v>
      </c>
      <c r="T265" s="1">
        <v>46454</v>
      </c>
      <c r="U265">
        <f t="shared" si="24"/>
        <v>375</v>
      </c>
      <c r="V265">
        <f t="shared" si="25"/>
        <v>285</v>
      </c>
      <c r="W265">
        <f t="shared" si="26"/>
        <v>90</v>
      </c>
      <c r="X265" s="5">
        <f t="shared" si="27"/>
        <v>0.24</v>
      </c>
      <c r="Y265">
        <f t="shared" si="28"/>
        <v>2025</v>
      </c>
      <c r="Z265">
        <f t="shared" si="29"/>
        <v>2</v>
      </c>
    </row>
    <row r="266" spans="1:26" x14ac:dyDescent="0.3">
      <c r="A266" s="2">
        <v>1347</v>
      </c>
      <c r="B266" s="3">
        <v>45896</v>
      </c>
      <c r="C266" s="4" t="s">
        <v>20</v>
      </c>
      <c r="D266" s="4" t="s">
        <v>21</v>
      </c>
      <c r="E266" s="4" t="s">
        <v>22</v>
      </c>
      <c r="F266" s="4" t="s">
        <v>23</v>
      </c>
      <c r="G266" t="s">
        <v>24</v>
      </c>
      <c r="H266" s="2">
        <v>3</v>
      </c>
      <c r="I266" s="2">
        <v>60</v>
      </c>
      <c r="J266">
        <v>85</v>
      </c>
      <c r="K266">
        <v>10</v>
      </c>
      <c r="L266">
        <v>12</v>
      </c>
      <c r="M266" t="s">
        <v>43</v>
      </c>
      <c r="N266" t="s">
        <v>26</v>
      </c>
      <c r="O266">
        <v>22</v>
      </c>
      <c r="P266" t="s">
        <v>45</v>
      </c>
      <c r="Q266" t="s">
        <v>37</v>
      </c>
      <c r="R266" t="s">
        <v>86</v>
      </c>
      <c r="S266" t="s">
        <v>419</v>
      </c>
      <c r="T266" s="1">
        <v>46399</v>
      </c>
      <c r="U266">
        <f t="shared" si="24"/>
        <v>255</v>
      </c>
      <c r="V266">
        <f t="shared" si="25"/>
        <v>180</v>
      </c>
      <c r="W266">
        <f t="shared" si="26"/>
        <v>75</v>
      </c>
      <c r="X266" s="5">
        <f t="shared" si="27"/>
        <v>0.29411764705882354</v>
      </c>
      <c r="Y266">
        <f t="shared" si="28"/>
        <v>2025</v>
      </c>
      <c r="Z266">
        <f t="shared" si="29"/>
        <v>8</v>
      </c>
    </row>
    <row r="267" spans="1:26" x14ac:dyDescent="0.3">
      <c r="A267" s="2">
        <v>1372</v>
      </c>
      <c r="B267" s="3">
        <v>45957</v>
      </c>
      <c r="C267" s="4" t="s">
        <v>20</v>
      </c>
      <c r="D267" s="4" t="s">
        <v>21</v>
      </c>
      <c r="E267" s="4" t="s">
        <v>22</v>
      </c>
      <c r="F267" s="4" t="s">
        <v>23</v>
      </c>
      <c r="G267" t="s">
        <v>24</v>
      </c>
      <c r="H267" s="2">
        <v>3</v>
      </c>
      <c r="I267" s="2">
        <v>60</v>
      </c>
      <c r="J267">
        <v>85</v>
      </c>
      <c r="K267">
        <v>5</v>
      </c>
      <c r="L267">
        <v>12</v>
      </c>
      <c r="M267" t="s">
        <v>25</v>
      </c>
      <c r="N267" t="s">
        <v>26</v>
      </c>
      <c r="O267">
        <v>54</v>
      </c>
      <c r="P267" t="s">
        <v>36</v>
      </c>
      <c r="Q267" t="s">
        <v>66</v>
      </c>
      <c r="R267" t="s">
        <v>38</v>
      </c>
      <c r="S267" t="s">
        <v>442</v>
      </c>
      <c r="T267" s="1">
        <v>46257</v>
      </c>
      <c r="U267">
        <f t="shared" si="24"/>
        <v>255</v>
      </c>
      <c r="V267">
        <f t="shared" si="25"/>
        <v>180</v>
      </c>
      <c r="W267">
        <f t="shared" si="26"/>
        <v>75</v>
      </c>
      <c r="X267" s="5">
        <f t="shared" si="27"/>
        <v>0.29411764705882354</v>
      </c>
      <c r="Y267">
        <f t="shared" si="28"/>
        <v>2025</v>
      </c>
      <c r="Z267">
        <f t="shared" si="29"/>
        <v>10</v>
      </c>
    </row>
    <row r="268" spans="1:26" x14ac:dyDescent="0.3">
      <c r="A268" s="2">
        <v>1375</v>
      </c>
      <c r="B268" s="3">
        <v>45871</v>
      </c>
      <c r="C268" s="4" t="s">
        <v>20</v>
      </c>
      <c r="D268" s="4" t="s">
        <v>21</v>
      </c>
      <c r="E268" s="4" t="s">
        <v>22</v>
      </c>
      <c r="F268" s="4" t="s">
        <v>23</v>
      </c>
      <c r="G268" t="s">
        <v>24</v>
      </c>
      <c r="H268" s="2">
        <v>3</v>
      </c>
      <c r="I268" s="2">
        <v>60</v>
      </c>
      <c r="J268">
        <v>85</v>
      </c>
      <c r="K268">
        <v>0</v>
      </c>
      <c r="L268">
        <v>12</v>
      </c>
      <c r="M268" t="s">
        <v>35</v>
      </c>
      <c r="N268" t="s">
        <v>26</v>
      </c>
      <c r="O268">
        <v>27</v>
      </c>
      <c r="P268" t="s">
        <v>52</v>
      </c>
      <c r="Q268" t="s">
        <v>66</v>
      </c>
      <c r="R268" t="s">
        <v>38</v>
      </c>
      <c r="S268" t="s">
        <v>445</v>
      </c>
      <c r="T268" s="1">
        <v>46530</v>
      </c>
      <c r="U268">
        <f t="shared" si="24"/>
        <v>255</v>
      </c>
      <c r="V268">
        <f t="shared" si="25"/>
        <v>180</v>
      </c>
      <c r="W268">
        <f t="shared" si="26"/>
        <v>75</v>
      </c>
      <c r="X268" s="5">
        <f t="shared" si="27"/>
        <v>0.29411764705882354</v>
      </c>
      <c r="Y268">
        <f t="shared" si="28"/>
        <v>2025</v>
      </c>
      <c r="Z268">
        <f t="shared" si="29"/>
        <v>8</v>
      </c>
    </row>
    <row r="269" spans="1:26" x14ac:dyDescent="0.3">
      <c r="A269" s="2">
        <v>1378</v>
      </c>
      <c r="B269" s="3">
        <v>45924</v>
      </c>
      <c r="C269" s="4" t="s">
        <v>61</v>
      </c>
      <c r="D269" s="4" t="s">
        <v>62</v>
      </c>
      <c r="E269" s="4" t="s">
        <v>63</v>
      </c>
      <c r="F269" s="4" t="s">
        <v>23</v>
      </c>
      <c r="G269" t="s">
        <v>64</v>
      </c>
      <c r="H269" s="2">
        <v>3</v>
      </c>
      <c r="I269" s="2">
        <v>12</v>
      </c>
      <c r="J269">
        <v>20</v>
      </c>
      <c r="K269">
        <v>5</v>
      </c>
      <c r="L269">
        <v>12</v>
      </c>
      <c r="M269" t="s">
        <v>35</v>
      </c>
      <c r="N269" t="s">
        <v>44</v>
      </c>
      <c r="O269">
        <v>71</v>
      </c>
      <c r="P269" t="s">
        <v>36</v>
      </c>
      <c r="Q269" t="s">
        <v>59</v>
      </c>
      <c r="R269" t="s">
        <v>86</v>
      </c>
      <c r="S269" t="s">
        <v>448</v>
      </c>
      <c r="T269" s="1">
        <v>46751</v>
      </c>
      <c r="U269">
        <f t="shared" si="24"/>
        <v>60</v>
      </c>
      <c r="V269">
        <f t="shared" si="25"/>
        <v>36</v>
      </c>
      <c r="W269">
        <f t="shared" si="26"/>
        <v>24</v>
      </c>
      <c r="X269" s="5">
        <f t="shared" si="27"/>
        <v>0.4</v>
      </c>
      <c r="Y269">
        <f t="shared" si="28"/>
        <v>2025</v>
      </c>
      <c r="Z269">
        <f t="shared" si="29"/>
        <v>9</v>
      </c>
    </row>
    <row r="270" spans="1:26" x14ac:dyDescent="0.3">
      <c r="A270" s="2">
        <v>1379</v>
      </c>
      <c r="B270" s="3">
        <v>46007</v>
      </c>
      <c r="C270" s="4" t="s">
        <v>98</v>
      </c>
      <c r="D270" s="4" t="s">
        <v>41</v>
      </c>
      <c r="E270" s="4" t="s">
        <v>33</v>
      </c>
      <c r="F270" s="4" t="s">
        <v>23</v>
      </c>
      <c r="G270" t="s">
        <v>82</v>
      </c>
      <c r="H270" s="2">
        <v>3</v>
      </c>
      <c r="I270" s="2">
        <v>22</v>
      </c>
      <c r="J270">
        <v>32</v>
      </c>
      <c r="K270">
        <v>0</v>
      </c>
      <c r="L270">
        <v>12</v>
      </c>
      <c r="M270" t="s">
        <v>35</v>
      </c>
      <c r="N270" t="s">
        <v>26</v>
      </c>
      <c r="O270">
        <v>23</v>
      </c>
      <c r="P270" t="s">
        <v>27</v>
      </c>
      <c r="Q270" t="s">
        <v>37</v>
      </c>
      <c r="R270" t="s">
        <v>38</v>
      </c>
      <c r="S270" t="s">
        <v>449</v>
      </c>
      <c r="T270" s="1">
        <v>46308</v>
      </c>
      <c r="U270">
        <f t="shared" si="24"/>
        <v>96</v>
      </c>
      <c r="V270">
        <f t="shared" si="25"/>
        <v>66</v>
      </c>
      <c r="W270">
        <f t="shared" si="26"/>
        <v>30</v>
      </c>
      <c r="X270" s="5">
        <f t="shared" si="27"/>
        <v>0.3125</v>
      </c>
      <c r="Y270">
        <f t="shared" si="28"/>
        <v>2025</v>
      </c>
      <c r="Z270">
        <f t="shared" si="29"/>
        <v>12</v>
      </c>
    </row>
    <row r="271" spans="1:26" x14ac:dyDescent="0.3">
      <c r="A271" s="2">
        <v>1383</v>
      </c>
      <c r="B271" s="3">
        <v>45981</v>
      </c>
      <c r="C271" s="4" t="s">
        <v>134</v>
      </c>
      <c r="D271" s="4" t="s">
        <v>21</v>
      </c>
      <c r="E271" s="4" t="s">
        <v>29</v>
      </c>
      <c r="F271" s="4" t="s">
        <v>50</v>
      </c>
      <c r="G271" t="s">
        <v>24</v>
      </c>
      <c r="H271" s="2">
        <v>3</v>
      </c>
      <c r="I271" s="2">
        <v>70</v>
      </c>
      <c r="J271">
        <v>95</v>
      </c>
      <c r="K271">
        <v>5</v>
      </c>
      <c r="L271">
        <v>12</v>
      </c>
      <c r="M271" t="s">
        <v>25</v>
      </c>
      <c r="N271" t="s">
        <v>26</v>
      </c>
      <c r="O271">
        <v>38</v>
      </c>
      <c r="P271" t="s">
        <v>45</v>
      </c>
      <c r="Q271" t="s">
        <v>53</v>
      </c>
      <c r="R271" t="s">
        <v>54</v>
      </c>
      <c r="S271" t="s">
        <v>453</v>
      </c>
      <c r="T271" s="1">
        <v>46226</v>
      </c>
      <c r="U271">
        <f t="shared" si="24"/>
        <v>285</v>
      </c>
      <c r="V271">
        <f t="shared" si="25"/>
        <v>210</v>
      </c>
      <c r="W271">
        <f t="shared" si="26"/>
        <v>75</v>
      </c>
      <c r="X271" s="5">
        <f t="shared" si="27"/>
        <v>0.26315789473684209</v>
      </c>
      <c r="Y271">
        <f t="shared" si="28"/>
        <v>2025</v>
      </c>
      <c r="Z271">
        <f t="shared" si="29"/>
        <v>11</v>
      </c>
    </row>
    <row r="272" spans="1:26" x14ac:dyDescent="0.3">
      <c r="A272" s="2">
        <v>1393</v>
      </c>
      <c r="B272" s="3">
        <v>45972</v>
      </c>
      <c r="C272" s="4" t="s">
        <v>61</v>
      </c>
      <c r="D272" s="4" t="s">
        <v>62</v>
      </c>
      <c r="E272" s="4" t="s">
        <v>63</v>
      </c>
      <c r="F272" s="4" t="s">
        <v>23</v>
      </c>
      <c r="G272" t="s">
        <v>64</v>
      </c>
      <c r="H272" s="2">
        <v>3</v>
      </c>
      <c r="I272" s="2">
        <v>12</v>
      </c>
      <c r="J272">
        <v>20</v>
      </c>
      <c r="K272">
        <v>0</v>
      </c>
      <c r="L272">
        <v>12</v>
      </c>
      <c r="M272" t="s">
        <v>25</v>
      </c>
      <c r="N272" t="s">
        <v>44</v>
      </c>
      <c r="O272">
        <v>58</v>
      </c>
      <c r="P272" t="s">
        <v>52</v>
      </c>
      <c r="Q272" t="s">
        <v>59</v>
      </c>
      <c r="R272" t="s">
        <v>54</v>
      </c>
      <c r="S272" t="s">
        <v>462</v>
      </c>
      <c r="T272" s="1">
        <v>46780</v>
      </c>
      <c r="U272">
        <f t="shared" si="24"/>
        <v>60</v>
      </c>
      <c r="V272">
        <f t="shared" si="25"/>
        <v>36</v>
      </c>
      <c r="W272">
        <f t="shared" si="26"/>
        <v>24</v>
      </c>
      <c r="X272" s="5">
        <f t="shared" si="27"/>
        <v>0.4</v>
      </c>
      <c r="Y272">
        <f t="shared" si="28"/>
        <v>2025</v>
      </c>
      <c r="Z272">
        <f t="shared" si="29"/>
        <v>11</v>
      </c>
    </row>
    <row r="273" spans="1:26" x14ac:dyDescent="0.3">
      <c r="A273" s="2">
        <v>1394</v>
      </c>
      <c r="B273" s="3">
        <v>45689</v>
      </c>
      <c r="C273" s="4" t="s">
        <v>47</v>
      </c>
      <c r="D273" s="4" t="s">
        <v>48</v>
      </c>
      <c r="E273" s="4" t="s">
        <v>49</v>
      </c>
      <c r="F273" s="4" t="s">
        <v>50</v>
      </c>
      <c r="G273" t="s">
        <v>51</v>
      </c>
      <c r="H273" s="2">
        <v>3</v>
      </c>
      <c r="I273" s="2">
        <v>35</v>
      </c>
      <c r="J273">
        <v>50</v>
      </c>
      <c r="K273">
        <v>10</v>
      </c>
      <c r="L273">
        <v>12</v>
      </c>
      <c r="M273" t="s">
        <v>43</v>
      </c>
      <c r="N273" t="s">
        <v>44</v>
      </c>
      <c r="O273">
        <v>69</v>
      </c>
      <c r="P273" t="s">
        <v>27</v>
      </c>
      <c r="Q273" t="s">
        <v>66</v>
      </c>
      <c r="R273" t="s">
        <v>29</v>
      </c>
      <c r="S273" t="s">
        <v>463</v>
      </c>
      <c r="T273" s="1">
        <v>45940</v>
      </c>
      <c r="U273">
        <f t="shared" si="24"/>
        <v>150</v>
      </c>
      <c r="V273">
        <f t="shared" si="25"/>
        <v>105</v>
      </c>
      <c r="W273">
        <f t="shared" si="26"/>
        <v>45</v>
      </c>
      <c r="X273" s="5">
        <f t="shared" si="27"/>
        <v>0.3</v>
      </c>
      <c r="Y273">
        <f t="shared" si="28"/>
        <v>2025</v>
      </c>
      <c r="Z273">
        <f t="shared" si="29"/>
        <v>2</v>
      </c>
    </row>
    <row r="274" spans="1:26" x14ac:dyDescent="0.3">
      <c r="A274" s="2">
        <v>1395</v>
      </c>
      <c r="B274" s="3">
        <v>45800</v>
      </c>
      <c r="C274" s="4" t="s">
        <v>105</v>
      </c>
      <c r="D274" s="4" t="s">
        <v>106</v>
      </c>
      <c r="E274" s="4" t="s">
        <v>22</v>
      </c>
      <c r="F274" s="4" t="s">
        <v>23</v>
      </c>
      <c r="G274" t="s">
        <v>51</v>
      </c>
      <c r="H274" s="2">
        <v>3</v>
      </c>
      <c r="I274" s="2">
        <v>95</v>
      </c>
      <c r="J274">
        <v>125</v>
      </c>
      <c r="K274">
        <v>5</v>
      </c>
      <c r="L274">
        <v>12</v>
      </c>
      <c r="M274" t="s">
        <v>35</v>
      </c>
      <c r="N274" t="s">
        <v>26</v>
      </c>
      <c r="O274">
        <v>66</v>
      </c>
      <c r="P274" t="s">
        <v>52</v>
      </c>
      <c r="Q274" t="s">
        <v>59</v>
      </c>
      <c r="R274" t="s">
        <v>22</v>
      </c>
      <c r="S274" t="s">
        <v>464</v>
      </c>
      <c r="T274" s="1">
        <v>46653</v>
      </c>
      <c r="U274">
        <f t="shared" si="24"/>
        <v>375</v>
      </c>
      <c r="V274">
        <f t="shared" si="25"/>
        <v>285</v>
      </c>
      <c r="W274">
        <f t="shared" si="26"/>
        <v>90</v>
      </c>
      <c r="X274" s="5">
        <f t="shared" si="27"/>
        <v>0.24</v>
      </c>
      <c r="Y274">
        <f t="shared" si="28"/>
        <v>2025</v>
      </c>
      <c r="Z274">
        <f t="shared" si="29"/>
        <v>5</v>
      </c>
    </row>
    <row r="275" spans="1:26" x14ac:dyDescent="0.3">
      <c r="A275" s="2">
        <v>1403</v>
      </c>
      <c r="B275" s="3">
        <v>45901</v>
      </c>
      <c r="C275" s="4" t="s">
        <v>75</v>
      </c>
      <c r="D275" s="4" t="s">
        <v>41</v>
      </c>
      <c r="E275" s="4" t="s">
        <v>76</v>
      </c>
      <c r="F275" s="4" t="s">
        <v>23</v>
      </c>
      <c r="G275" t="s">
        <v>42</v>
      </c>
      <c r="H275" s="2">
        <v>3</v>
      </c>
      <c r="I275" s="2">
        <v>25</v>
      </c>
      <c r="J275">
        <v>35</v>
      </c>
      <c r="K275">
        <v>0</v>
      </c>
      <c r="L275">
        <v>12</v>
      </c>
      <c r="M275" t="s">
        <v>43</v>
      </c>
      <c r="N275" t="s">
        <v>26</v>
      </c>
      <c r="O275">
        <v>19</v>
      </c>
      <c r="P275" t="s">
        <v>52</v>
      </c>
      <c r="Q275" t="s">
        <v>59</v>
      </c>
      <c r="R275" t="s">
        <v>22</v>
      </c>
      <c r="S275" t="s">
        <v>472</v>
      </c>
      <c r="T275" s="1">
        <v>46785</v>
      </c>
      <c r="U275">
        <f t="shared" si="24"/>
        <v>105</v>
      </c>
      <c r="V275">
        <f t="shared" si="25"/>
        <v>75</v>
      </c>
      <c r="W275">
        <f t="shared" si="26"/>
        <v>30</v>
      </c>
      <c r="X275" s="5">
        <f t="shared" si="27"/>
        <v>0.2857142857142857</v>
      </c>
      <c r="Y275">
        <f t="shared" si="28"/>
        <v>2025</v>
      </c>
      <c r="Z275">
        <f t="shared" si="29"/>
        <v>9</v>
      </c>
    </row>
    <row r="276" spans="1:26" x14ac:dyDescent="0.3">
      <c r="A276" s="2">
        <v>1405</v>
      </c>
      <c r="B276" s="3">
        <v>45912</v>
      </c>
      <c r="C276" s="4" t="s">
        <v>75</v>
      </c>
      <c r="D276" s="4" t="s">
        <v>41</v>
      </c>
      <c r="E276" s="4" t="s">
        <v>76</v>
      </c>
      <c r="F276" s="4" t="s">
        <v>23</v>
      </c>
      <c r="G276" t="s">
        <v>42</v>
      </c>
      <c r="H276" s="2">
        <v>3</v>
      </c>
      <c r="I276" s="2">
        <v>25</v>
      </c>
      <c r="J276">
        <v>35</v>
      </c>
      <c r="K276">
        <v>0</v>
      </c>
      <c r="L276">
        <v>12</v>
      </c>
      <c r="M276" t="s">
        <v>43</v>
      </c>
      <c r="N276" t="s">
        <v>26</v>
      </c>
      <c r="O276">
        <v>21</v>
      </c>
      <c r="P276" t="s">
        <v>52</v>
      </c>
      <c r="Q276" t="s">
        <v>37</v>
      </c>
      <c r="R276" t="s">
        <v>38</v>
      </c>
      <c r="S276" t="s">
        <v>474</v>
      </c>
      <c r="T276" s="1">
        <v>46577</v>
      </c>
      <c r="U276">
        <f t="shared" si="24"/>
        <v>105</v>
      </c>
      <c r="V276">
        <f t="shared" si="25"/>
        <v>75</v>
      </c>
      <c r="W276">
        <f t="shared" si="26"/>
        <v>30</v>
      </c>
      <c r="X276" s="5">
        <f t="shared" si="27"/>
        <v>0.2857142857142857</v>
      </c>
      <c r="Y276">
        <f t="shared" si="28"/>
        <v>2025</v>
      </c>
      <c r="Z276">
        <f t="shared" si="29"/>
        <v>9</v>
      </c>
    </row>
    <row r="277" spans="1:26" x14ac:dyDescent="0.3">
      <c r="A277" s="2">
        <v>1407</v>
      </c>
      <c r="B277" s="3">
        <v>45850</v>
      </c>
      <c r="C277" s="4" t="s">
        <v>69</v>
      </c>
      <c r="D277" s="4" t="s">
        <v>48</v>
      </c>
      <c r="E277" s="4" t="s">
        <v>70</v>
      </c>
      <c r="F277" s="4" t="s">
        <v>50</v>
      </c>
      <c r="G277" t="s">
        <v>71</v>
      </c>
      <c r="H277" s="2">
        <v>3</v>
      </c>
      <c r="I277" s="2">
        <v>25</v>
      </c>
      <c r="J277">
        <v>38</v>
      </c>
      <c r="K277">
        <v>5</v>
      </c>
      <c r="L277">
        <v>12</v>
      </c>
      <c r="M277" t="s">
        <v>25</v>
      </c>
      <c r="N277" t="s">
        <v>44</v>
      </c>
      <c r="O277">
        <v>74</v>
      </c>
      <c r="P277" t="s">
        <v>45</v>
      </c>
      <c r="Q277" t="s">
        <v>66</v>
      </c>
      <c r="R277" t="s">
        <v>54</v>
      </c>
      <c r="S277" t="s">
        <v>476</v>
      </c>
      <c r="T277" s="1">
        <v>46209</v>
      </c>
      <c r="U277">
        <f t="shared" si="24"/>
        <v>114</v>
      </c>
      <c r="V277">
        <f t="shared" si="25"/>
        <v>75</v>
      </c>
      <c r="W277">
        <f t="shared" si="26"/>
        <v>39</v>
      </c>
      <c r="X277" s="5">
        <f t="shared" si="27"/>
        <v>0.34210526315789475</v>
      </c>
      <c r="Y277">
        <f t="shared" si="28"/>
        <v>2025</v>
      </c>
      <c r="Z277">
        <f t="shared" si="29"/>
        <v>7</v>
      </c>
    </row>
    <row r="278" spans="1:26" x14ac:dyDescent="0.3">
      <c r="A278" s="2">
        <v>1410</v>
      </c>
      <c r="B278" s="3">
        <v>46000</v>
      </c>
      <c r="C278" s="4" t="s">
        <v>47</v>
      </c>
      <c r="D278" s="4" t="s">
        <v>48</v>
      </c>
      <c r="E278" s="4" t="s">
        <v>49</v>
      </c>
      <c r="F278" s="4" t="s">
        <v>50</v>
      </c>
      <c r="G278" t="s">
        <v>51</v>
      </c>
      <c r="H278" s="2">
        <v>3</v>
      </c>
      <c r="I278" s="2">
        <v>35</v>
      </c>
      <c r="J278">
        <v>50</v>
      </c>
      <c r="K278">
        <v>0</v>
      </c>
      <c r="L278">
        <v>12</v>
      </c>
      <c r="M278" t="s">
        <v>43</v>
      </c>
      <c r="N278" t="s">
        <v>44</v>
      </c>
      <c r="O278">
        <v>31</v>
      </c>
      <c r="P278" t="s">
        <v>45</v>
      </c>
      <c r="Q278" t="s">
        <v>53</v>
      </c>
      <c r="R278" t="s">
        <v>86</v>
      </c>
      <c r="S278" t="s">
        <v>479</v>
      </c>
      <c r="T278" s="1">
        <v>46216</v>
      </c>
      <c r="U278">
        <f t="shared" si="24"/>
        <v>150</v>
      </c>
      <c r="V278">
        <f t="shared" si="25"/>
        <v>105</v>
      </c>
      <c r="W278">
        <f t="shared" si="26"/>
        <v>45</v>
      </c>
      <c r="X278" s="5">
        <f t="shared" si="27"/>
        <v>0.3</v>
      </c>
      <c r="Y278">
        <f t="shared" si="28"/>
        <v>2025</v>
      </c>
      <c r="Z278">
        <f t="shared" si="29"/>
        <v>12</v>
      </c>
    </row>
    <row r="279" spans="1:26" x14ac:dyDescent="0.3">
      <c r="A279" s="2">
        <v>1411</v>
      </c>
      <c r="B279" s="3">
        <v>45865</v>
      </c>
      <c r="C279" s="4" t="s">
        <v>56</v>
      </c>
      <c r="D279" s="4" t="s">
        <v>57</v>
      </c>
      <c r="E279" s="4" t="s">
        <v>58</v>
      </c>
      <c r="F279" s="4" t="s">
        <v>23</v>
      </c>
      <c r="G279" t="s">
        <v>24</v>
      </c>
      <c r="H279" s="2">
        <v>3</v>
      </c>
      <c r="I279" s="2">
        <v>75</v>
      </c>
      <c r="J279">
        <v>100</v>
      </c>
      <c r="K279">
        <v>5</v>
      </c>
      <c r="L279">
        <v>12</v>
      </c>
      <c r="M279" t="s">
        <v>43</v>
      </c>
      <c r="N279" t="s">
        <v>26</v>
      </c>
      <c r="O279">
        <v>42</v>
      </c>
      <c r="P279" t="s">
        <v>45</v>
      </c>
      <c r="Q279" t="s">
        <v>37</v>
      </c>
      <c r="R279" t="s">
        <v>86</v>
      </c>
      <c r="S279" t="s">
        <v>480</v>
      </c>
      <c r="T279" s="1">
        <v>46323</v>
      </c>
      <c r="U279">
        <f t="shared" si="24"/>
        <v>300</v>
      </c>
      <c r="V279">
        <f t="shared" si="25"/>
        <v>225</v>
      </c>
      <c r="W279">
        <f t="shared" si="26"/>
        <v>75</v>
      </c>
      <c r="X279" s="5">
        <f t="shared" si="27"/>
        <v>0.25</v>
      </c>
      <c r="Y279">
        <f t="shared" si="28"/>
        <v>2025</v>
      </c>
      <c r="Z279">
        <f t="shared" si="29"/>
        <v>7</v>
      </c>
    </row>
    <row r="280" spans="1:26" x14ac:dyDescent="0.3">
      <c r="A280" s="2">
        <v>1416</v>
      </c>
      <c r="B280" s="3">
        <v>45802</v>
      </c>
      <c r="C280" s="4" t="s">
        <v>20</v>
      </c>
      <c r="D280" s="4" t="s">
        <v>21</v>
      </c>
      <c r="E280" s="4" t="s">
        <v>22</v>
      </c>
      <c r="F280" s="4" t="s">
        <v>23</v>
      </c>
      <c r="G280" t="s">
        <v>24</v>
      </c>
      <c r="H280" s="2">
        <v>3</v>
      </c>
      <c r="I280" s="2">
        <v>60</v>
      </c>
      <c r="J280">
        <v>85</v>
      </c>
      <c r="K280">
        <v>10</v>
      </c>
      <c r="L280">
        <v>12</v>
      </c>
      <c r="M280" t="s">
        <v>25</v>
      </c>
      <c r="N280" t="s">
        <v>44</v>
      </c>
      <c r="O280">
        <v>29</v>
      </c>
      <c r="P280" t="s">
        <v>52</v>
      </c>
      <c r="Q280" t="s">
        <v>53</v>
      </c>
      <c r="R280" t="s">
        <v>86</v>
      </c>
      <c r="S280" t="s">
        <v>484</v>
      </c>
      <c r="T280" s="1">
        <v>46385</v>
      </c>
      <c r="U280">
        <f t="shared" si="24"/>
        <v>255</v>
      </c>
      <c r="V280">
        <f t="shared" si="25"/>
        <v>180</v>
      </c>
      <c r="W280">
        <f t="shared" si="26"/>
        <v>75</v>
      </c>
      <c r="X280" s="5">
        <f t="shared" si="27"/>
        <v>0.29411764705882354</v>
      </c>
      <c r="Y280">
        <f t="shared" si="28"/>
        <v>2025</v>
      </c>
      <c r="Z280">
        <f t="shared" si="29"/>
        <v>5</v>
      </c>
    </row>
    <row r="281" spans="1:26" x14ac:dyDescent="0.3">
      <c r="A281" s="2">
        <v>1424</v>
      </c>
      <c r="B281" s="3">
        <v>45922</v>
      </c>
      <c r="C281" s="4" t="s">
        <v>40</v>
      </c>
      <c r="D281" s="4" t="s">
        <v>41</v>
      </c>
      <c r="E281" s="4" t="s">
        <v>33</v>
      </c>
      <c r="F281" s="4" t="s">
        <v>23</v>
      </c>
      <c r="G281" t="s">
        <v>42</v>
      </c>
      <c r="H281" s="2">
        <v>3</v>
      </c>
      <c r="I281" s="2">
        <v>24</v>
      </c>
      <c r="J281">
        <v>34</v>
      </c>
      <c r="K281">
        <v>10</v>
      </c>
      <c r="L281">
        <v>12</v>
      </c>
      <c r="M281" t="s">
        <v>25</v>
      </c>
      <c r="N281" t="s">
        <v>26</v>
      </c>
      <c r="O281">
        <v>74</v>
      </c>
      <c r="P281" t="s">
        <v>52</v>
      </c>
      <c r="Q281" t="s">
        <v>66</v>
      </c>
      <c r="R281" t="s">
        <v>38</v>
      </c>
      <c r="S281" t="s">
        <v>492</v>
      </c>
      <c r="T281" s="1">
        <v>46383</v>
      </c>
      <c r="U281">
        <f t="shared" si="24"/>
        <v>102</v>
      </c>
      <c r="V281">
        <f t="shared" si="25"/>
        <v>72</v>
      </c>
      <c r="W281">
        <f t="shared" si="26"/>
        <v>30</v>
      </c>
      <c r="X281" s="5">
        <f t="shared" si="27"/>
        <v>0.29411764705882354</v>
      </c>
      <c r="Y281">
        <f t="shared" si="28"/>
        <v>2025</v>
      </c>
      <c r="Z281">
        <f t="shared" si="29"/>
        <v>9</v>
      </c>
    </row>
    <row r="282" spans="1:26" x14ac:dyDescent="0.3">
      <c r="A282" s="2">
        <v>1425</v>
      </c>
      <c r="B282" s="3">
        <v>45888</v>
      </c>
      <c r="C282" s="4" t="s">
        <v>69</v>
      </c>
      <c r="D282" s="4" t="s">
        <v>48</v>
      </c>
      <c r="E282" s="4" t="s">
        <v>70</v>
      </c>
      <c r="F282" s="4" t="s">
        <v>50</v>
      </c>
      <c r="G282" t="s">
        <v>71</v>
      </c>
      <c r="H282" s="2">
        <v>3</v>
      </c>
      <c r="I282" s="2">
        <v>25</v>
      </c>
      <c r="J282">
        <v>38</v>
      </c>
      <c r="K282">
        <v>0</v>
      </c>
      <c r="L282">
        <v>12</v>
      </c>
      <c r="M282" t="s">
        <v>35</v>
      </c>
      <c r="N282" t="s">
        <v>26</v>
      </c>
      <c r="O282">
        <v>38</v>
      </c>
      <c r="P282" t="s">
        <v>27</v>
      </c>
      <c r="Q282" t="s">
        <v>37</v>
      </c>
      <c r="R282" t="s">
        <v>54</v>
      </c>
      <c r="S282" t="s">
        <v>493</v>
      </c>
      <c r="T282" s="1">
        <v>46421</v>
      </c>
      <c r="U282">
        <f t="shared" si="24"/>
        <v>114</v>
      </c>
      <c r="V282">
        <f t="shared" si="25"/>
        <v>75</v>
      </c>
      <c r="W282">
        <f t="shared" si="26"/>
        <v>39</v>
      </c>
      <c r="X282" s="5">
        <f t="shared" si="27"/>
        <v>0.34210526315789475</v>
      </c>
      <c r="Y282">
        <f t="shared" si="28"/>
        <v>2025</v>
      </c>
      <c r="Z282">
        <f t="shared" si="29"/>
        <v>8</v>
      </c>
    </row>
    <row r="283" spans="1:26" x14ac:dyDescent="0.3">
      <c r="A283" s="2">
        <v>1444</v>
      </c>
      <c r="B283" s="3">
        <v>46005</v>
      </c>
      <c r="C283" s="4" t="s">
        <v>75</v>
      </c>
      <c r="D283" s="4" t="s">
        <v>41</v>
      </c>
      <c r="E283" s="4" t="s">
        <v>76</v>
      </c>
      <c r="F283" s="4" t="s">
        <v>23</v>
      </c>
      <c r="G283" t="s">
        <v>42</v>
      </c>
      <c r="H283" s="2">
        <v>3</v>
      </c>
      <c r="I283" s="2">
        <v>25</v>
      </c>
      <c r="J283">
        <v>35</v>
      </c>
      <c r="K283">
        <v>10</v>
      </c>
      <c r="L283">
        <v>12</v>
      </c>
      <c r="M283" t="s">
        <v>25</v>
      </c>
      <c r="N283" t="s">
        <v>26</v>
      </c>
      <c r="O283">
        <v>31</v>
      </c>
      <c r="P283" t="s">
        <v>45</v>
      </c>
      <c r="Q283" t="s">
        <v>53</v>
      </c>
      <c r="R283" t="s">
        <v>22</v>
      </c>
      <c r="S283" t="s">
        <v>512</v>
      </c>
      <c r="T283" s="1">
        <v>46370</v>
      </c>
      <c r="U283">
        <f t="shared" si="24"/>
        <v>105</v>
      </c>
      <c r="V283">
        <f t="shared" si="25"/>
        <v>75</v>
      </c>
      <c r="W283">
        <f t="shared" si="26"/>
        <v>30</v>
      </c>
      <c r="X283" s="5">
        <f t="shared" si="27"/>
        <v>0.2857142857142857</v>
      </c>
      <c r="Y283">
        <f t="shared" si="28"/>
        <v>2025</v>
      </c>
      <c r="Z283">
        <f t="shared" si="29"/>
        <v>12</v>
      </c>
    </row>
    <row r="284" spans="1:26" x14ac:dyDescent="0.3">
      <c r="A284" s="2">
        <v>1446</v>
      </c>
      <c r="B284" s="3">
        <v>45982</v>
      </c>
      <c r="C284" s="4" t="s">
        <v>75</v>
      </c>
      <c r="D284" s="4" t="s">
        <v>41</v>
      </c>
      <c r="E284" s="4" t="s">
        <v>76</v>
      </c>
      <c r="F284" s="4" t="s">
        <v>23</v>
      </c>
      <c r="G284" t="s">
        <v>42</v>
      </c>
      <c r="H284" s="2">
        <v>3</v>
      </c>
      <c r="I284" s="2">
        <v>25</v>
      </c>
      <c r="J284">
        <v>35</v>
      </c>
      <c r="K284">
        <v>10</v>
      </c>
      <c r="L284">
        <v>12</v>
      </c>
      <c r="M284" t="s">
        <v>35</v>
      </c>
      <c r="N284" t="s">
        <v>26</v>
      </c>
      <c r="O284">
        <v>23</v>
      </c>
      <c r="P284" t="s">
        <v>36</v>
      </c>
      <c r="Q284" t="s">
        <v>53</v>
      </c>
      <c r="R284" t="s">
        <v>29</v>
      </c>
      <c r="S284" t="s">
        <v>514</v>
      </c>
      <c r="T284" s="1">
        <v>46659</v>
      </c>
      <c r="U284">
        <f t="shared" si="24"/>
        <v>105</v>
      </c>
      <c r="V284">
        <f t="shared" si="25"/>
        <v>75</v>
      </c>
      <c r="W284">
        <f t="shared" si="26"/>
        <v>30</v>
      </c>
      <c r="X284" s="5">
        <f t="shared" si="27"/>
        <v>0.2857142857142857</v>
      </c>
      <c r="Y284">
        <f t="shared" si="28"/>
        <v>2025</v>
      </c>
      <c r="Z284">
        <f t="shared" si="29"/>
        <v>11</v>
      </c>
    </row>
    <row r="285" spans="1:26" x14ac:dyDescent="0.3">
      <c r="A285" s="2">
        <v>1458</v>
      </c>
      <c r="B285" s="3">
        <v>45971</v>
      </c>
      <c r="C285" s="4" t="s">
        <v>105</v>
      </c>
      <c r="D285" s="4" t="s">
        <v>106</v>
      </c>
      <c r="E285" s="4" t="s">
        <v>22</v>
      </c>
      <c r="F285" s="4" t="s">
        <v>23</v>
      </c>
      <c r="G285" t="s">
        <v>51</v>
      </c>
      <c r="H285" s="2">
        <v>3</v>
      </c>
      <c r="I285" s="2">
        <v>95</v>
      </c>
      <c r="J285">
        <v>125</v>
      </c>
      <c r="K285">
        <v>5</v>
      </c>
      <c r="L285">
        <v>12</v>
      </c>
      <c r="M285" t="s">
        <v>35</v>
      </c>
      <c r="N285" t="s">
        <v>26</v>
      </c>
      <c r="O285">
        <v>73</v>
      </c>
      <c r="P285" t="s">
        <v>45</v>
      </c>
      <c r="Q285" t="s">
        <v>28</v>
      </c>
      <c r="R285" t="s">
        <v>29</v>
      </c>
      <c r="S285" t="s">
        <v>526</v>
      </c>
      <c r="T285" s="1">
        <v>46615</v>
      </c>
      <c r="U285">
        <f t="shared" si="24"/>
        <v>375</v>
      </c>
      <c r="V285">
        <f t="shared" si="25"/>
        <v>285</v>
      </c>
      <c r="W285">
        <f t="shared" si="26"/>
        <v>90</v>
      </c>
      <c r="X285" s="5">
        <f t="shared" si="27"/>
        <v>0.24</v>
      </c>
      <c r="Y285">
        <f t="shared" si="28"/>
        <v>2025</v>
      </c>
      <c r="Z285">
        <f t="shared" si="29"/>
        <v>11</v>
      </c>
    </row>
    <row r="286" spans="1:26" x14ac:dyDescent="0.3">
      <c r="A286" s="2">
        <v>1469</v>
      </c>
      <c r="B286" s="3">
        <v>45934</v>
      </c>
      <c r="C286" s="4" t="s">
        <v>75</v>
      </c>
      <c r="D286" s="4" t="s">
        <v>41</v>
      </c>
      <c r="E286" s="4" t="s">
        <v>76</v>
      </c>
      <c r="F286" s="4" t="s">
        <v>23</v>
      </c>
      <c r="G286" t="s">
        <v>42</v>
      </c>
      <c r="H286" s="2">
        <v>3</v>
      </c>
      <c r="I286" s="2">
        <v>25</v>
      </c>
      <c r="J286">
        <v>35</v>
      </c>
      <c r="K286">
        <v>5</v>
      </c>
      <c r="L286">
        <v>12</v>
      </c>
      <c r="M286" t="s">
        <v>35</v>
      </c>
      <c r="N286" t="s">
        <v>44</v>
      </c>
      <c r="O286">
        <v>73</v>
      </c>
      <c r="P286" t="s">
        <v>45</v>
      </c>
      <c r="Q286" t="s">
        <v>66</v>
      </c>
      <c r="R286" t="s">
        <v>86</v>
      </c>
      <c r="S286" t="s">
        <v>537</v>
      </c>
      <c r="T286" s="1">
        <v>46260</v>
      </c>
      <c r="U286">
        <f t="shared" si="24"/>
        <v>105</v>
      </c>
      <c r="V286">
        <f t="shared" si="25"/>
        <v>75</v>
      </c>
      <c r="W286">
        <f t="shared" si="26"/>
        <v>30</v>
      </c>
      <c r="X286" s="5">
        <f t="shared" si="27"/>
        <v>0.2857142857142857</v>
      </c>
      <c r="Y286">
        <f t="shared" si="28"/>
        <v>2025</v>
      </c>
      <c r="Z286">
        <f t="shared" si="29"/>
        <v>10</v>
      </c>
    </row>
    <row r="287" spans="1:26" x14ac:dyDescent="0.3">
      <c r="A287" s="2">
        <v>1470</v>
      </c>
      <c r="B287" s="3">
        <v>45748</v>
      </c>
      <c r="C287" s="4" t="s">
        <v>105</v>
      </c>
      <c r="D287" s="4" t="s">
        <v>106</v>
      </c>
      <c r="E287" s="4" t="s">
        <v>22</v>
      </c>
      <c r="F287" s="4" t="s">
        <v>23</v>
      </c>
      <c r="G287" t="s">
        <v>51</v>
      </c>
      <c r="H287" s="2">
        <v>3</v>
      </c>
      <c r="I287" s="2">
        <v>95</v>
      </c>
      <c r="J287">
        <v>125</v>
      </c>
      <c r="K287">
        <v>10</v>
      </c>
      <c r="L287">
        <v>12</v>
      </c>
      <c r="M287" t="s">
        <v>43</v>
      </c>
      <c r="N287" t="s">
        <v>44</v>
      </c>
      <c r="O287">
        <v>29</v>
      </c>
      <c r="P287" t="s">
        <v>45</v>
      </c>
      <c r="Q287" t="s">
        <v>28</v>
      </c>
      <c r="R287" t="s">
        <v>22</v>
      </c>
      <c r="S287" t="s">
        <v>538</v>
      </c>
      <c r="T287" s="1">
        <v>45987</v>
      </c>
      <c r="U287">
        <f t="shared" si="24"/>
        <v>375</v>
      </c>
      <c r="V287">
        <f t="shared" si="25"/>
        <v>285</v>
      </c>
      <c r="W287">
        <f t="shared" si="26"/>
        <v>90</v>
      </c>
      <c r="X287" s="5">
        <f t="shared" si="27"/>
        <v>0.24</v>
      </c>
      <c r="Y287">
        <f t="shared" si="28"/>
        <v>2025</v>
      </c>
      <c r="Z287">
        <f t="shared" si="29"/>
        <v>4</v>
      </c>
    </row>
    <row r="288" spans="1:26" x14ac:dyDescent="0.3">
      <c r="A288" s="2">
        <v>1471</v>
      </c>
      <c r="B288" s="3">
        <v>45778</v>
      </c>
      <c r="C288" s="4" t="s">
        <v>92</v>
      </c>
      <c r="D288" s="4" t="s">
        <v>48</v>
      </c>
      <c r="E288" s="4" t="s">
        <v>54</v>
      </c>
      <c r="F288" s="4" t="s">
        <v>23</v>
      </c>
      <c r="G288" t="s">
        <v>82</v>
      </c>
      <c r="H288" s="2">
        <v>3</v>
      </c>
      <c r="I288" s="2">
        <v>18</v>
      </c>
      <c r="J288">
        <v>28</v>
      </c>
      <c r="K288">
        <v>0</v>
      </c>
      <c r="L288">
        <v>12</v>
      </c>
      <c r="M288" t="s">
        <v>43</v>
      </c>
      <c r="N288" t="s">
        <v>44</v>
      </c>
      <c r="O288">
        <v>22</v>
      </c>
      <c r="P288" t="s">
        <v>27</v>
      </c>
      <c r="Q288" t="s">
        <v>37</v>
      </c>
      <c r="R288" t="s">
        <v>54</v>
      </c>
      <c r="S288" t="s">
        <v>539</v>
      </c>
      <c r="T288" s="1">
        <v>46567</v>
      </c>
      <c r="U288">
        <f t="shared" si="24"/>
        <v>84</v>
      </c>
      <c r="V288">
        <f t="shared" si="25"/>
        <v>54</v>
      </c>
      <c r="W288">
        <f t="shared" si="26"/>
        <v>30</v>
      </c>
      <c r="X288" s="5">
        <f t="shared" si="27"/>
        <v>0.35714285714285715</v>
      </c>
      <c r="Y288">
        <f t="shared" si="28"/>
        <v>2025</v>
      </c>
      <c r="Z288">
        <f t="shared" si="29"/>
        <v>5</v>
      </c>
    </row>
    <row r="289" spans="1:26" x14ac:dyDescent="0.3">
      <c r="A289" s="2">
        <v>1473</v>
      </c>
      <c r="B289" s="3">
        <v>46001</v>
      </c>
      <c r="C289" s="4" t="s">
        <v>40</v>
      </c>
      <c r="D289" s="4" t="s">
        <v>41</v>
      </c>
      <c r="E289" s="4" t="s">
        <v>33</v>
      </c>
      <c r="F289" s="4" t="s">
        <v>23</v>
      </c>
      <c r="G289" t="s">
        <v>42</v>
      </c>
      <c r="H289" s="2">
        <v>3</v>
      </c>
      <c r="I289" s="2">
        <v>24</v>
      </c>
      <c r="J289">
        <v>34</v>
      </c>
      <c r="K289">
        <v>5</v>
      </c>
      <c r="L289">
        <v>12</v>
      </c>
      <c r="M289" t="s">
        <v>35</v>
      </c>
      <c r="N289" t="s">
        <v>44</v>
      </c>
      <c r="O289">
        <v>41</v>
      </c>
      <c r="P289" t="s">
        <v>45</v>
      </c>
      <c r="Q289" t="s">
        <v>53</v>
      </c>
      <c r="R289" t="s">
        <v>29</v>
      </c>
      <c r="S289" t="s">
        <v>541</v>
      </c>
      <c r="T289" s="1">
        <v>46411</v>
      </c>
      <c r="U289">
        <f t="shared" si="24"/>
        <v>102</v>
      </c>
      <c r="V289">
        <f t="shared" si="25"/>
        <v>72</v>
      </c>
      <c r="W289">
        <f t="shared" si="26"/>
        <v>30</v>
      </c>
      <c r="X289" s="5">
        <f t="shared" si="27"/>
        <v>0.29411764705882354</v>
      </c>
      <c r="Y289">
        <f t="shared" si="28"/>
        <v>2025</v>
      </c>
      <c r="Z289">
        <f t="shared" si="29"/>
        <v>12</v>
      </c>
    </row>
    <row r="290" spans="1:26" x14ac:dyDescent="0.3">
      <c r="A290" s="2">
        <v>1481</v>
      </c>
      <c r="B290" s="3">
        <v>45887</v>
      </c>
      <c r="C290" s="4" t="s">
        <v>134</v>
      </c>
      <c r="D290" s="4" t="s">
        <v>21</v>
      </c>
      <c r="E290" s="4" t="s">
        <v>29</v>
      </c>
      <c r="F290" s="4" t="s">
        <v>50</v>
      </c>
      <c r="G290" t="s">
        <v>24</v>
      </c>
      <c r="H290" s="2">
        <v>3</v>
      </c>
      <c r="I290" s="2">
        <v>70</v>
      </c>
      <c r="J290">
        <v>95</v>
      </c>
      <c r="K290">
        <v>0</v>
      </c>
      <c r="L290">
        <v>12</v>
      </c>
      <c r="M290" t="s">
        <v>25</v>
      </c>
      <c r="N290" t="s">
        <v>26</v>
      </c>
      <c r="O290">
        <v>37</v>
      </c>
      <c r="P290" t="s">
        <v>27</v>
      </c>
      <c r="Q290" t="s">
        <v>53</v>
      </c>
      <c r="R290" t="s">
        <v>22</v>
      </c>
      <c r="S290" t="s">
        <v>548</v>
      </c>
      <c r="T290" s="1">
        <v>46133</v>
      </c>
      <c r="U290">
        <f t="shared" si="24"/>
        <v>285</v>
      </c>
      <c r="V290">
        <f t="shared" si="25"/>
        <v>210</v>
      </c>
      <c r="W290">
        <f t="shared" si="26"/>
        <v>75</v>
      </c>
      <c r="X290" s="5">
        <f t="shared" si="27"/>
        <v>0.26315789473684209</v>
      </c>
      <c r="Y290">
        <f t="shared" si="28"/>
        <v>2025</v>
      </c>
      <c r="Z290">
        <f t="shared" si="29"/>
        <v>8</v>
      </c>
    </row>
    <row r="291" spans="1:26" x14ac:dyDescent="0.3">
      <c r="A291" s="2">
        <v>1482</v>
      </c>
      <c r="B291" s="3">
        <v>45898</v>
      </c>
      <c r="C291" s="4" t="s">
        <v>69</v>
      </c>
      <c r="D291" s="4" t="s">
        <v>48</v>
      </c>
      <c r="E291" s="4" t="s">
        <v>70</v>
      </c>
      <c r="F291" s="4" t="s">
        <v>50</v>
      </c>
      <c r="G291" t="s">
        <v>71</v>
      </c>
      <c r="H291" s="2">
        <v>3</v>
      </c>
      <c r="I291" s="2">
        <v>25</v>
      </c>
      <c r="J291">
        <v>38</v>
      </c>
      <c r="K291">
        <v>0</v>
      </c>
      <c r="L291">
        <v>12</v>
      </c>
      <c r="M291" t="s">
        <v>25</v>
      </c>
      <c r="N291" t="s">
        <v>26</v>
      </c>
      <c r="O291">
        <v>25</v>
      </c>
      <c r="P291" t="s">
        <v>52</v>
      </c>
      <c r="Q291" t="s">
        <v>59</v>
      </c>
      <c r="R291" t="s">
        <v>22</v>
      </c>
      <c r="S291" t="s">
        <v>549</v>
      </c>
      <c r="T291" s="1">
        <v>46279</v>
      </c>
      <c r="U291">
        <f t="shared" si="24"/>
        <v>114</v>
      </c>
      <c r="V291">
        <f t="shared" si="25"/>
        <v>75</v>
      </c>
      <c r="W291">
        <f t="shared" si="26"/>
        <v>39</v>
      </c>
      <c r="X291" s="5">
        <f t="shared" si="27"/>
        <v>0.34210526315789475</v>
      </c>
      <c r="Y291">
        <f t="shared" si="28"/>
        <v>2025</v>
      </c>
      <c r="Z291">
        <f t="shared" si="29"/>
        <v>8</v>
      </c>
    </row>
    <row r="292" spans="1:26" x14ac:dyDescent="0.3">
      <c r="A292" s="2">
        <v>1484</v>
      </c>
      <c r="B292" s="3">
        <v>46002</v>
      </c>
      <c r="C292" s="4" t="s">
        <v>61</v>
      </c>
      <c r="D292" s="4" t="s">
        <v>62</v>
      </c>
      <c r="E292" s="4" t="s">
        <v>63</v>
      </c>
      <c r="F292" s="4" t="s">
        <v>23</v>
      </c>
      <c r="G292" t="s">
        <v>64</v>
      </c>
      <c r="H292" s="2">
        <v>3</v>
      </c>
      <c r="I292" s="2">
        <v>12</v>
      </c>
      <c r="J292">
        <v>20</v>
      </c>
      <c r="K292">
        <v>0</v>
      </c>
      <c r="L292">
        <v>12</v>
      </c>
      <c r="M292" t="s">
        <v>25</v>
      </c>
      <c r="N292" t="s">
        <v>44</v>
      </c>
      <c r="O292">
        <v>31</v>
      </c>
      <c r="P292" t="s">
        <v>52</v>
      </c>
      <c r="Q292" t="s">
        <v>66</v>
      </c>
      <c r="R292" t="s">
        <v>86</v>
      </c>
      <c r="S292" t="s">
        <v>551</v>
      </c>
      <c r="T292" s="1">
        <v>46709</v>
      </c>
      <c r="U292">
        <f t="shared" si="24"/>
        <v>60</v>
      </c>
      <c r="V292">
        <f t="shared" si="25"/>
        <v>36</v>
      </c>
      <c r="W292">
        <f t="shared" si="26"/>
        <v>24</v>
      </c>
      <c r="X292" s="5">
        <f t="shared" si="27"/>
        <v>0.4</v>
      </c>
      <c r="Y292">
        <f t="shared" si="28"/>
        <v>2025</v>
      </c>
      <c r="Z292">
        <f t="shared" si="29"/>
        <v>12</v>
      </c>
    </row>
    <row r="293" spans="1:26" x14ac:dyDescent="0.3">
      <c r="A293" s="2">
        <v>1489</v>
      </c>
      <c r="B293" s="3">
        <v>45851</v>
      </c>
      <c r="C293" s="4" t="s">
        <v>61</v>
      </c>
      <c r="D293" s="4" t="s">
        <v>62</v>
      </c>
      <c r="E293" s="4" t="s">
        <v>63</v>
      </c>
      <c r="F293" s="4" t="s">
        <v>23</v>
      </c>
      <c r="G293" t="s">
        <v>64</v>
      </c>
      <c r="H293" s="2">
        <v>3</v>
      </c>
      <c r="I293" s="2">
        <v>12</v>
      </c>
      <c r="J293">
        <v>20</v>
      </c>
      <c r="K293">
        <v>10</v>
      </c>
      <c r="L293">
        <v>12</v>
      </c>
      <c r="M293" t="s">
        <v>43</v>
      </c>
      <c r="N293" t="s">
        <v>44</v>
      </c>
      <c r="O293">
        <v>46</v>
      </c>
      <c r="P293" t="s">
        <v>36</v>
      </c>
      <c r="Q293" t="s">
        <v>37</v>
      </c>
      <c r="R293" t="s">
        <v>29</v>
      </c>
      <c r="S293" t="s">
        <v>237</v>
      </c>
      <c r="T293" s="1">
        <v>46679</v>
      </c>
      <c r="U293">
        <f t="shared" si="24"/>
        <v>60</v>
      </c>
      <c r="V293">
        <f t="shared" si="25"/>
        <v>36</v>
      </c>
      <c r="W293">
        <f t="shared" si="26"/>
        <v>24</v>
      </c>
      <c r="X293" s="5">
        <f t="shared" si="27"/>
        <v>0.4</v>
      </c>
      <c r="Y293">
        <f t="shared" si="28"/>
        <v>2025</v>
      </c>
      <c r="Z293">
        <f t="shared" si="29"/>
        <v>7</v>
      </c>
    </row>
    <row r="294" spans="1:26" x14ac:dyDescent="0.3">
      <c r="A294" s="2">
        <v>1492</v>
      </c>
      <c r="B294" s="3">
        <v>45725</v>
      </c>
      <c r="C294" s="4" t="s">
        <v>98</v>
      </c>
      <c r="D294" s="4" t="s">
        <v>41</v>
      </c>
      <c r="E294" s="4" t="s">
        <v>33</v>
      </c>
      <c r="F294" s="4" t="s">
        <v>23</v>
      </c>
      <c r="G294" t="s">
        <v>82</v>
      </c>
      <c r="H294" s="2">
        <v>3</v>
      </c>
      <c r="I294" s="2">
        <v>22</v>
      </c>
      <c r="J294">
        <v>32</v>
      </c>
      <c r="K294">
        <v>10</v>
      </c>
      <c r="L294">
        <v>12</v>
      </c>
      <c r="M294" t="s">
        <v>25</v>
      </c>
      <c r="N294" t="s">
        <v>26</v>
      </c>
      <c r="O294">
        <v>32</v>
      </c>
      <c r="P294" t="s">
        <v>36</v>
      </c>
      <c r="Q294" t="s">
        <v>59</v>
      </c>
      <c r="R294" t="s">
        <v>22</v>
      </c>
      <c r="S294" t="s">
        <v>557</v>
      </c>
      <c r="T294" s="1">
        <v>46148</v>
      </c>
      <c r="U294">
        <f t="shared" si="24"/>
        <v>96</v>
      </c>
      <c r="V294">
        <f t="shared" si="25"/>
        <v>66</v>
      </c>
      <c r="W294">
        <f t="shared" si="26"/>
        <v>30</v>
      </c>
      <c r="X294" s="5">
        <f t="shared" si="27"/>
        <v>0.3125</v>
      </c>
      <c r="Y294">
        <f t="shared" si="28"/>
        <v>2025</v>
      </c>
      <c r="Z294">
        <f t="shared" si="29"/>
        <v>3</v>
      </c>
    </row>
    <row r="295" spans="1:26" x14ac:dyDescent="0.3">
      <c r="A295" s="2">
        <v>1496</v>
      </c>
      <c r="B295" s="3">
        <v>45889</v>
      </c>
      <c r="C295" s="4" t="s">
        <v>31</v>
      </c>
      <c r="D295" s="4" t="s">
        <v>32</v>
      </c>
      <c r="E295" s="4" t="s">
        <v>33</v>
      </c>
      <c r="F295" s="4" t="s">
        <v>23</v>
      </c>
      <c r="G295" t="s">
        <v>34</v>
      </c>
      <c r="H295" s="2">
        <v>3</v>
      </c>
      <c r="I295" s="2">
        <v>140</v>
      </c>
      <c r="J295">
        <v>180</v>
      </c>
      <c r="K295">
        <v>10</v>
      </c>
      <c r="L295">
        <v>12</v>
      </c>
      <c r="M295" t="s">
        <v>43</v>
      </c>
      <c r="N295" t="s">
        <v>26</v>
      </c>
      <c r="O295">
        <v>36</v>
      </c>
      <c r="P295" t="s">
        <v>27</v>
      </c>
      <c r="Q295" t="s">
        <v>37</v>
      </c>
      <c r="R295" t="s">
        <v>22</v>
      </c>
      <c r="S295" t="s">
        <v>561</v>
      </c>
      <c r="T295" s="1">
        <v>46762</v>
      </c>
      <c r="U295">
        <f t="shared" si="24"/>
        <v>540</v>
      </c>
      <c r="V295">
        <f t="shared" si="25"/>
        <v>420</v>
      </c>
      <c r="W295">
        <f t="shared" si="26"/>
        <v>120</v>
      </c>
      <c r="X295" s="5">
        <f t="shared" si="27"/>
        <v>0.22222222222222221</v>
      </c>
      <c r="Y295">
        <f t="shared" si="28"/>
        <v>2025</v>
      </c>
      <c r="Z295">
        <f t="shared" si="29"/>
        <v>8</v>
      </c>
    </row>
    <row r="296" spans="1:26" x14ac:dyDescent="0.3">
      <c r="A296" s="2">
        <v>1017</v>
      </c>
      <c r="B296" s="3">
        <v>45735</v>
      </c>
      <c r="C296" s="4" t="s">
        <v>79</v>
      </c>
      <c r="D296" s="4" t="s">
        <v>80</v>
      </c>
      <c r="E296" s="4" t="s">
        <v>81</v>
      </c>
      <c r="F296" s="4" t="s">
        <v>23</v>
      </c>
      <c r="G296" t="s">
        <v>82</v>
      </c>
      <c r="H296" s="2">
        <v>4</v>
      </c>
      <c r="I296" s="2">
        <v>80</v>
      </c>
      <c r="J296">
        <v>110</v>
      </c>
      <c r="K296">
        <v>0</v>
      </c>
      <c r="L296">
        <v>12</v>
      </c>
      <c r="M296" t="s">
        <v>43</v>
      </c>
      <c r="N296" t="s">
        <v>44</v>
      </c>
      <c r="O296">
        <v>61</v>
      </c>
      <c r="P296" t="s">
        <v>27</v>
      </c>
      <c r="Q296" t="s">
        <v>59</v>
      </c>
      <c r="R296" t="s">
        <v>38</v>
      </c>
      <c r="S296" t="s">
        <v>88</v>
      </c>
      <c r="T296" s="1">
        <v>46129</v>
      </c>
      <c r="U296">
        <f t="shared" si="24"/>
        <v>440</v>
      </c>
      <c r="V296">
        <f t="shared" si="25"/>
        <v>320</v>
      </c>
      <c r="W296">
        <f t="shared" si="26"/>
        <v>120</v>
      </c>
      <c r="X296" s="5">
        <f t="shared" si="27"/>
        <v>0.27272727272727271</v>
      </c>
      <c r="Y296">
        <f t="shared" si="28"/>
        <v>2025</v>
      </c>
      <c r="Z296">
        <f t="shared" si="29"/>
        <v>3</v>
      </c>
    </row>
    <row r="297" spans="1:26" x14ac:dyDescent="0.3">
      <c r="A297" s="2">
        <v>1018</v>
      </c>
      <c r="B297" s="3">
        <v>45785</v>
      </c>
      <c r="C297" s="4" t="s">
        <v>84</v>
      </c>
      <c r="D297" s="4" t="s">
        <v>85</v>
      </c>
      <c r="E297" s="4" t="s">
        <v>63</v>
      </c>
      <c r="F297" s="4" t="s">
        <v>23</v>
      </c>
      <c r="G297" t="s">
        <v>82</v>
      </c>
      <c r="H297" s="2">
        <v>4</v>
      </c>
      <c r="I297" s="2">
        <v>45</v>
      </c>
      <c r="J297">
        <v>65</v>
      </c>
      <c r="K297">
        <v>0</v>
      </c>
      <c r="L297">
        <v>12</v>
      </c>
      <c r="M297" t="s">
        <v>35</v>
      </c>
      <c r="N297" t="s">
        <v>26</v>
      </c>
      <c r="O297">
        <v>27</v>
      </c>
      <c r="P297" t="s">
        <v>45</v>
      </c>
      <c r="Q297" t="s">
        <v>28</v>
      </c>
      <c r="R297" t="s">
        <v>29</v>
      </c>
      <c r="S297" t="s">
        <v>89</v>
      </c>
      <c r="T297" s="1">
        <v>46242</v>
      </c>
      <c r="U297">
        <f t="shared" si="24"/>
        <v>260</v>
      </c>
      <c r="V297">
        <f t="shared" si="25"/>
        <v>180</v>
      </c>
      <c r="W297">
        <f t="shared" si="26"/>
        <v>80</v>
      </c>
      <c r="X297" s="5">
        <f t="shared" si="27"/>
        <v>0.30769230769230771</v>
      </c>
      <c r="Y297">
        <f t="shared" si="28"/>
        <v>2025</v>
      </c>
      <c r="Z297">
        <f t="shared" si="29"/>
        <v>5</v>
      </c>
    </row>
    <row r="298" spans="1:26" x14ac:dyDescent="0.3">
      <c r="A298" s="2">
        <v>1022</v>
      </c>
      <c r="B298" s="3">
        <v>45931</v>
      </c>
      <c r="C298" s="4" t="s">
        <v>61</v>
      </c>
      <c r="D298" s="4" t="s">
        <v>62</v>
      </c>
      <c r="E298" s="4" t="s">
        <v>63</v>
      </c>
      <c r="F298" s="4" t="s">
        <v>23</v>
      </c>
      <c r="G298" t="s">
        <v>64</v>
      </c>
      <c r="H298" s="2">
        <v>4</v>
      </c>
      <c r="I298" s="2">
        <v>12</v>
      </c>
      <c r="J298">
        <v>20</v>
      </c>
      <c r="K298">
        <v>5</v>
      </c>
      <c r="L298">
        <v>12</v>
      </c>
      <c r="M298" t="s">
        <v>43</v>
      </c>
      <c r="N298" t="s">
        <v>26</v>
      </c>
      <c r="O298">
        <v>41</v>
      </c>
      <c r="P298" t="s">
        <v>45</v>
      </c>
      <c r="Q298" t="s">
        <v>28</v>
      </c>
      <c r="R298" t="s">
        <v>38</v>
      </c>
      <c r="S298" t="s">
        <v>94</v>
      </c>
      <c r="T298" s="1">
        <v>46112</v>
      </c>
      <c r="U298">
        <f t="shared" si="24"/>
        <v>80</v>
      </c>
      <c r="V298">
        <f t="shared" si="25"/>
        <v>48</v>
      </c>
      <c r="W298">
        <f t="shared" si="26"/>
        <v>32</v>
      </c>
      <c r="X298" s="5">
        <f t="shared" si="27"/>
        <v>0.4</v>
      </c>
      <c r="Y298">
        <f t="shared" si="28"/>
        <v>2025</v>
      </c>
      <c r="Z298">
        <f t="shared" si="29"/>
        <v>10</v>
      </c>
    </row>
    <row r="299" spans="1:26" x14ac:dyDescent="0.3">
      <c r="A299" s="2">
        <v>1026</v>
      </c>
      <c r="B299" s="3">
        <v>45843</v>
      </c>
      <c r="C299" s="4" t="s">
        <v>98</v>
      </c>
      <c r="D299" s="4" t="s">
        <v>41</v>
      </c>
      <c r="E299" s="4" t="s">
        <v>33</v>
      </c>
      <c r="F299" s="4" t="s">
        <v>23</v>
      </c>
      <c r="G299" t="s">
        <v>82</v>
      </c>
      <c r="H299" s="2">
        <v>4</v>
      </c>
      <c r="I299" s="2">
        <v>22</v>
      </c>
      <c r="J299">
        <v>32</v>
      </c>
      <c r="K299">
        <v>10</v>
      </c>
      <c r="L299">
        <v>12</v>
      </c>
      <c r="M299" t="s">
        <v>35</v>
      </c>
      <c r="N299" t="s">
        <v>26</v>
      </c>
      <c r="O299">
        <v>73</v>
      </c>
      <c r="P299" t="s">
        <v>45</v>
      </c>
      <c r="Q299" t="s">
        <v>37</v>
      </c>
      <c r="R299" t="s">
        <v>38</v>
      </c>
      <c r="S299" t="s">
        <v>99</v>
      </c>
      <c r="T299" s="1">
        <v>46658</v>
      </c>
      <c r="U299">
        <f t="shared" si="24"/>
        <v>128</v>
      </c>
      <c r="V299">
        <f t="shared" si="25"/>
        <v>88</v>
      </c>
      <c r="W299">
        <f t="shared" si="26"/>
        <v>40</v>
      </c>
      <c r="X299" s="5">
        <f t="shared" si="27"/>
        <v>0.3125</v>
      </c>
      <c r="Y299">
        <f t="shared" si="28"/>
        <v>2025</v>
      </c>
      <c r="Z299">
        <f t="shared" si="29"/>
        <v>7</v>
      </c>
    </row>
    <row r="300" spans="1:26" x14ac:dyDescent="0.3">
      <c r="A300" s="2">
        <v>1049</v>
      </c>
      <c r="B300" s="3">
        <v>45883</v>
      </c>
      <c r="C300" s="4" t="s">
        <v>84</v>
      </c>
      <c r="D300" s="4" t="s">
        <v>85</v>
      </c>
      <c r="E300" s="4" t="s">
        <v>63</v>
      </c>
      <c r="F300" s="4" t="s">
        <v>23</v>
      </c>
      <c r="G300" t="s">
        <v>82</v>
      </c>
      <c r="H300" s="2">
        <v>4</v>
      </c>
      <c r="I300" s="2">
        <v>45</v>
      </c>
      <c r="J300">
        <v>65</v>
      </c>
      <c r="K300">
        <v>0</v>
      </c>
      <c r="L300">
        <v>12</v>
      </c>
      <c r="M300" t="s">
        <v>25</v>
      </c>
      <c r="N300" t="s">
        <v>26</v>
      </c>
      <c r="O300">
        <v>48</v>
      </c>
      <c r="P300" t="s">
        <v>45</v>
      </c>
      <c r="Q300" t="s">
        <v>66</v>
      </c>
      <c r="R300" t="s">
        <v>22</v>
      </c>
      <c r="S300" t="s">
        <v>126</v>
      </c>
      <c r="T300" s="1">
        <v>46546</v>
      </c>
      <c r="U300">
        <f t="shared" si="24"/>
        <v>260</v>
      </c>
      <c r="V300">
        <f t="shared" si="25"/>
        <v>180</v>
      </c>
      <c r="W300">
        <f t="shared" si="26"/>
        <v>80</v>
      </c>
      <c r="X300" s="5">
        <f t="shared" si="27"/>
        <v>0.30769230769230771</v>
      </c>
      <c r="Y300">
        <f t="shared" si="28"/>
        <v>2025</v>
      </c>
      <c r="Z300">
        <f t="shared" si="29"/>
        <v>8</v>
      </c>
    </row>
    <row r="301" spans="1:26" x14ac:dyDescent="0.3">
      <c r="A301" s="2">
        <v>1051</v>
      </c>
      <c r="B301" s="3">
        <v>45968</v>
      </c>
      <c r="C301" s="4" t="s">
        <v>98</v>
      </c>
      <c r="D301" s="4" t="s">
        <v>41</v>
      </c>
      <c r="E301" s="4" t="s">
        <v>33</v>
      </c>
      <c r="F301" s="4" t="s">
        <v>23</v>
      </c>
      <c r="G301" t="s">
        <v>82</v>
      </c>
      <c r="H301" s="2">
        <v>4</v>
      </c>
      <c r="I301" s="2">
        <v>22</v>
      </c>
      <c r="J301">
        <v>32</v>
      </c>
      <c r="K301">
        <v>10</v>
      </c>
      <c r="L301">
        <v>12</v>
      </c>
      <c r="M301" t="s">
        <v>35</v>
      </c>
      <c r="N301" t="s">
        <v>44</v>
      </c>
      <c r="O301">
        <v>32</v>
      </c>
      <c r="P301" t="s">
        <v>36</v>
      </c>
      <c r="Q301" t="s">
        <v>53</v>
      </c>
      <c r="R301" t="s">
        <v>29</v>
      </c>
      <c r="S301" t="s">
        <v>128</v>
      </c>
      <c r="T301" s="1">
        <v>46322</v>
      </c>
      <c r="U301">
        <f t="shared" si="24"/>
        <v>128</v>
      </c>
      <c r="V301">
        <f t="shared" si="25"/>
        <v>88</v>
      </c>
      <c r="W301">
        <f t="shared" si="26"/>
        <v>40</v>
      </c>
      <c r="X301" s="5">
        <f t="shared" si="27"/>
        <v>0.3125</v>
      </c>
      <c r="Y301">
        <f t="shared" si="28"/>
        <v>2025</v>
      </c>
      <c r="Z301">
        <f t="shared" si="29"/>
        <v>11</v>
      </c>
    </row>
    <row r="302" spans="1:26" x14ac:dyDescent="0.3">
      <c r="A302" s="2">
        <v>1054</v>
      </c>
      <c r="B302" s="3">
        <v>45743</v>
      </c>
      <c r="C302" s="4" t="s">
        <v>69</v>
      </c>
      <c r="D302" s="4" t="s">
        <v>48</v>
      </c>
      <c r="E302" s="4" t="s">
        <v>70</v>
      </c>
      <c r="F302" s="4" t="s">
        <v>50</v>
      </c>
      <c r="G302" t="s">
        <v>71</v>
      </c>
      <c r="H302" s="2">
        <v>4</v>
      </c>
      <c r="I302" s="2">
        <v>25</v>
      </c>
      <c r="J302">
        <v>38</v>
      </c>
      <c r="K302">
        <v>10</v>
      </c>
      <c r="L302">
        <v>12</v>
      </c>
      <c r="M302" t="s">
        <v>43</v>
      </c>
      <c r="N302" t="s">
        <v>26</v>
      </c>
      <c r="O302">
        <v>29</v>
      </c>
      <c r="P302" t="s">
        <v>36</v>
      </c>
      <c r="Q302" t="s">
        <v>28</v>
      </c>
      <c r="R302" t="s">
        <v>86</v>
      </c>
      <c r="S302" t="s">
        <v>131</v>
      </c>
      <c r="T302" s="1">
        <v>46398</v>
      </c>
      <c r="U302">
        <f t="shared" si="24"/>
        <v>152</v>
      </c>
      <c r="V302">
        <f t="shared" si="25"/>
        <v>100</v>
      </c>
      <c r="W302">
        <f t="shared" si="26"/>
        <v>52</v>
      </c>
      <c r="X302" s="5">
        <f t="shared" si="27"/>
        <v>0.34210526315789475</v>
      </c>
      <c r="Y302">
        <f t="shared" si="28"/>
        <v>2025</v>
      </c>
      <c r="Z302">
        <f t="shared" si="29"/>
        <v>3</v>
      </c>
    </row>
    <row r="303" spans="1:26" x14ac:dyDescent="0.3">
      <c r="A303" s="2">
        <v>1066</v>
      </c>
      <c r="B303" s="3">
        <v>45703</v>
      </c>
      <c r="C303" s="4" t="s">
        <v>105</v>
      </c>
      <c r="D303" s="4" t="s">
        <v>106</v>
      </c>
      <c r="E303" s="4" t="s">
        <v>22</v>
      </c>
      <c r="F303" s="4" t="s">
        <v>23</v>
      </c>
      <c r="G303" t="s">
        <v>51</v>
      </c>
      <c r="H303" s="2">
        <v>4</v>
      </c>
      <c r="I303" s="2">
        <v>95</v>
      </c>
      <c r="J303">
        <v>125</v>
      </c>
      <c r="K303">
        <v>5</v>
      </c>
      <c r="L303">
        <v>12</v>
      </c>
      <c r="M303" t="s">
        <v>43</v>
      </c>
      <c r="N303" t="s">
        <v>26</v>
      </c>
      <c r="O303">
        <v>51</v>
      </c>
      <c r="P303" t="s">
        <v>36</v>
      </c>
      <c r="Q303" t="s">
        <v>28</v>
      </c>
      <c r="R303" t="s">
        <v>86</v>
      </c>
      <c r="S303" t="s">
        <v>143</v>
      </c>
      <c r="T303" s="1">
        <v>46094</v>
      </c>
      <c r="U303">
        <f t="shared" si="24"/>
        <v>500</v>
      </c>
      <c r="V303">
        <f t="shared" si="25"/>
        <v>380</v>
      </c>
      <c r="W303">
        <f t="shared" si="26"/>
        <v>120</v>
      </c>
      <c r="X303" s="5">
        <f t="shared" si="27"/>
        <v>0.24</v>
      </c>
      <c r="Y303">
        <f t="shared" si="28"/>
        <v>2025</v>
      </c>
      <c r="Z303">
        <f t="shared" si="29"/>
        <v>2</v>
      </c>
    </row>
    <row r="304" spans="1:26" x14ac:dyDescent="0.3">
      <c r="A304" s="2">
        <v>1067</v>
      </c>
      <c r="B304" s="3">
        <v>46009</v>
      </c>
      <c r="C304" s="4" t="s">
        <v>47</v>
      </c>
      <c r="D304" s="4" t="s">
        <v>48</v>
      </c>
      <c r="E304" s="4" t="s">
        <v>49</v>
      </c>
      <c r="F304" s="4" t="s">
        <v>50</v>
      </c>
      <c r="G304" t="s">
        <v>51</v>
      </c>
      <c r="H304" s="2">
        <v>4</v>
      </c>
      <c r="I304" s="2">
        <v>35</v>
      </c>
      <c r="J304">
        <v>50</v>
      </c>
      <c r="K304">
        <v>10</v>
      </c>
      <c r="L304">
        <v>12</v>
      </c>
      <c r="M304" t="s">
        <v>35</v>
      </c>
      <c r="N304" t="s">
        <v>26</v>
      </c>
      <c r="O304">
        <v>40</v>
      </c>
      <c r="P304" t="s">
        <v>52</v>
      </c>
      <c r="Q304" t="s">
        <v>59</v>
      </c>
      <c r="R304" t="s">
        <v>86</v>
      </c>
      <c r="S304" t="s">
        <v>144</v>
      </c>
      <c r="T304" s="1">
        <v>46879</v>
      </c>
      <c r="U304">
        <f t="shared" si="24"/>
        <v>200</v>
      </c>
      <c r="V304">
        <f t="shared" si="25"/>
        <v>140</v>
      </c>
      <c r="W304">
        <f t="shared" si="26"/>
        <v>60</v>
      </c>
      <c r="X304" s="5">
        <f t="shared" si="27"/>
        <v>0.3</v>
      </c>
      <c r="Y304">
        <f t="shared" si="28"/>
        <v>2025</v>
      </c>
      <c r="Z304">
        <f t="shared" si="29"/>
        <v>12</v>
      </c>
    </row>
    <row r="305" spans="1:26" x14ac:dyDescent="0.3">
      <c r="A305" s="2">
        <v>1073</v>
      </c>
      <c r="B305" s="3">
        <v>45902</v>
      </c>
      <c r="C305" s="4" t="s">
        <v>56</v>
      </c>
      <c r="D305" s="4" t="s">
        <v>57</v>
      </c>
      <c r="E305" s="4" t="s">
        <v>58</v>
      </c>
      <c r="F305" s="4" t="s">
        <v>23</v>
      </c>
      <c r="G305" t="s">
        <v>24</v>
      </c>
      <c r="H305" s="2">
        <v>4</v>
      </c>
      <c r="I305" s="2">
        <v>75</v>
      </c>
      <c r="J305">
        <v>100</v>
      </c>
      <c r="K305">
        <v>0</v>
      </c>
      <c r="L305">
        <v>12</v>
      </c>
      <c r="M305" t="s">
        <v>25</v>
      </c>
      <c r="N305" t="s">
        <v>26</v>
      </c>
      <c r="O305">
        <v>39</v>
      </c>
      <c r="P305" t="s">
        <v>36</v>
      </c>
      <c r="Q305" t="s">
        <v>59</v>
      </c>
      <c r="R305" t="s">
        <v>54</v>
      </c>
      <c r="S305" t="s">
        <v>150</v>
      </c>
      <c r="T305" s="1">
        <v>46418</v>
      </c>
      <c r="U305">
        <f t="shared" si="24"/>
        <v>400</v>
      </c>
      <c r="V305">
        <f t="shared" si="25"/>
        <v>300</v>
      </c>
      <c r="W305">
        <f t="shared" si="26"/>
        <v>100</v>
      </c>
      <c r="X305" s="5">
        <f t="shared" si="27"/>
        <v>0.25</v>
      </c>
      <c r="Y305">
        <f t="shared" si="28"/>
        <v>2025</v>
      </c>
      <c r="Z305">
        <f t="shared" si="29"/>
        <v>9</v>
      </c>
    </row>
    <row r="306" spans="1:26" x14ac:dyDescent="0.3">
      <c r="A306" s="2">
        <v>1083</v>
      </c>
      <c r="B306" s="3">
        <v>45729</v>
      </c>
      <c r="C306" s="4" t="s">
        <v>20</v>
      </c>
      <c r="D306" s="4" t="s">
        <v>21</v>
      </c>
      <c r="E306" s="4" t="s">
        <v>22</v>
      </c>
      <c r="F306" s="4" t="s">
        <v>23</v>
      </c>
      <c r="G306" t="s">
        <v>24</v>
      </c>
      <c r="H306" s="2">
        <v>4</v>
      </c>
      <c r="I306" s="2">
        <v>60</v>
      </c>
      <c r="J306">
        <v>85</v>
      </c>
      <c r="K306">
        <v>0</v>
      </c>
      <c r="L306">
        <v>12</v>
      </c>
      <c r="M306" t="s">
        <v>43</v>
      </c>
      <c r="N306" t="s">
        <v>26</v>
      </c>
      <c r="O306">
        <v>59</v>
      </c>
      <c r="P306" t="s">
        <v>52</v>
      </c>
      <c r="Q306" t="s">
        <v>59</v>
      </c>
      <c r="R306" t="s">
        <v>86</v>
      </c>
      <c r="S306" t="s">
        <v>160</v>
      </c>
      <c r="T306" s="1">
        <v>46503</v>
      </c>
      <c r="U306">
        <f t="shared" si="24"/>
        <v>340</v>
      </c>
      <c r="V306">
        <f t="shared" si="25"/>
        <v>240</v>
      </c>
      <c r="W306">
        <f t="shared" si="26"/>
        <v>100</v>
      </c>
      <c r="X306" s="5">
        <f t="shared" si="27"/>
        <v>0.29411764705882354</v>
      </c>
      <c r="Y306">
        <f t="shared" si="28"/>
        <v>2025</v>
      </c>
      <c r="Z306">
        <f t="shared" si="29"/>
        <v>3</v>
      </c>
    </row>
    <row r="307" spans="1:26" x14ac:dyDescent="0.3">
      <c r="A307" s="2">
        <v>1084</v>
      </c>
      <c r="B307" s="3">
        <v>45760</v>
      </c>
      <c r="C307" s="4" t="s">
        <v>75</v>
      </c>
      <c r="D307" s="4" t="s">
        <v>41</v>
      </c>
      <c r="E307" s="4" t="s">
        <v>76</v>
      </c>
      <c r="F307" s="4" t="s">
        <v>23</v>
      </c>
      <c r="G307" t="s">
        <v>42</v>
      </c>
      <c r="H307" s="2">
        <v>4</v>
      </c>
      <c r="I307" s="2">
        <v>25</v>
      </c>
      <c r="J307">
        <v>35</v>
      </c>
      <c r="K307">
        <v>5</v>
      </c>
      <c r="L307">
        <v>12</v>
      </c>
      <c r="M307" t="s">
        <v>25</v>
      </c>
      <c r="N307" t="s">
        <v>44</v>
      </c>
      <c r="O307">
        <v>50</v>
      </c>
      <c r="P307" t="s">
        <v>45</v>
      </c>
      <c r="Q307" t="s">
        <v>66</v>
      </c>
      <c r="R307" t="s">
        <v>22</v>
      </c>
      <c r="S307" t="s">
        <v>161</v>
      </c>
      <c r="T307" s="1">
        <v>46377</v>
      </c>
      <c r="U307">
        <f t="shared" si="24"/>
        <v>140</v>
      </c>
      <c r="V307">
        <f t="shared" si="25"/>
        <v>100</v>
      </c>
      <c r="W307">
        <f t="shared" si="26"/>
        <v>40</v>
      </c>
      <c r="X307" s="5">
        <f t="shared" si="27"/>
        <v>0.2857142857142857</v>
      </c>
      <c r="Y307">
        <f t="shared" si="28"/>
        <v>2025</v>
      </c>
      <c r="Z307">
        <f t="shared" si="29"/>
        <v>4</v>
      </c>
    </row>
    <row r="308" spans="1:26" x14ac:dyDescent="0.3">
      <c r="A308" s="2">
        <v>1085</v>
      </c>
      <c r="B308" s="3">
        <v>45808</v>
      </c>
      <c r="C308" s="4" t="s">
        <v>20</v>
      </c>
      <c r="D308" s="4" t="s">
        <v>21</v>
      </c>
      <c r="E308" s="4" t="s">
        <v>22</v>
      </c>
      <c r="F308" s="4" t="s">
        <v>23</v>
      </c>
      <c r="G308" t="s">
        <v>24</v>
      </c>
      <c r="H308" s="2">
        <v>4</v>
      </c>
      <c r="I308" s="2">
        <v>60</v>
      </c>
      <c r="J308">
        <v>85</v>
      </c>
      <c r="K308">
        <v>0</v>
      </c>
      <c r="L308">
        <v>12</v>
      </c>
      <c r="M308" t="s">
        <v>43</v>
      </c>
      <c r="N308" t="s">
        <v>44</v>
      </c>
      <c r="O308">
        <v>23</v>
      </c>
      <c r="P308" t="s">
        <v>27</v>
      </c>
      <c r="Q308" t="s">
        <v>53</v>
      </c>
      <c r="R308" t="s">
        <v>54</v>
      </c>
      <c r="S308" t="s">
        <v>162</v>
      </c>
      <c r="T308" s="1">
        <v>46094</v>
      </c>
      <c r="U308">
        <f t="shared" si="24"/>
        <v>340</v>
      </c>
      <c r="V308">
        <f t="shared" si="25"/>
        <v>240</v>
      </c>
      <c r="W308">
        <f t="shared" si="26"/>
        <v>100</v>
      </c>
      <c r="X308" s="5">
        <f t="shared" si="27"/>
        <v>0.29411764705882354</v>
      </c>
      <c r="Y308">
        <f t="shared" si="28"/>
        <v>2025</v>
      </c>
      <c r="Z308">
        <f t="shared" si="29"/>
        <v>5</v>
      </c>
    </row>
    <row r="309" spans="1:26" x14ac:dyDescent="0.3">
      <c r="A309" s="2">
        <v>1089</v>
      </c>
      <c r="B309" s="3">
        <v>45919</v>
      </c>
      <c r="C309" s="4" t="s">
        <v>98</v>
      </c>
      <c r="D309" s="4" t="s">
        <v>41</v>
      </c>
      <c r="E309" s="4" t="s">
        <v>33</v>
      </c>
      <c r="F309" s="4" t="s">
        <v>23</v>
      </c>
      <c r="G309" t="s">
        <v>82</v>
      </c>
      <c r="H309" s="2">
        <v>4</v>
      </c>
      <c r="I309" s="2">
        <v>22</v>
      </c>
      <c r="J309">
        <v>32</v>
      </c>
      <c r="K309">
        <v>10</v>
      </c>
      <c r="L309">
        <v>12</v>
      </c>
      <c r="M309" t="s">
        <v>43</v>
      </c>
      <c r="N309" t="s">
        <v>44</v>
      </c>
      <c r="O309">
        <v>40</v>
      </c>
      <c r="P309" t="s">
        <v>36</v>
      </c>
      <c r="Q309" t="s">
        <v>59</v>
      </c>
      <c r="R309" t="s">
        <v>86</v>
      </c>
      <c r="S309" t="s">
        <v>166</v>
      </c>
      <c r="T309" s="1">
        <v>46240</v>
      </c>
      <c r="U309">
        <f t="shared" si="24"/>
        <v>128</v>
      </c>
      <c r="V309">
        <f t="shared" si="25"/>
        <v>88</v>
      </c>
      <c r="W309">
        <f t="shared" si="26"/>
        <v>40</v>
      </c>
      <c r="X309" s="5">
        <f t="shared" si="27"/>
        <v>0.3125</v>
      </c>
      <c r="Y309">
        <f t="shared" si="28"/>
        <v>2025</v>
      </c>
      <c r="Z309">
        <f t="shared" si="29"/>
        <v>9</v>
      </c>
    </row>
    <row r="310" spans="1:26" x14ac:dyDescent="0.3">
      <c r="A310" s="2">
        <v>1090</v>
      </c>
      <c r="B310" s="3">
        <v>45671</v>
      </c>
      <c r="C310" s="4" t="s">
        <v>20</v>
      </c>
      <c r="D310" s="4" t="s">
        <v>21</v>
      </c>
      <c r="E310" s="4" t="s">
        <v>22</v>
      </c>
      <c r="F310" s="4" t="s">
        <v>23</v>
      </c>
      <c r="G310" t="s">
        <v>24</v>
      </c>
      <c r="H310" s="2">
        <v>4</v>
      </c>
      <c r="I310" s="2">
        <v>60</v>
      </c>
      <c r="J310">
        <v>85</v>
      </c>
      <c r="K310">
        <v>5</v>
      </c>
      <c r="L310">
        <v>12</v>
      </c>
      <c r="M310" t="s">
        <v>25</v>
      </c>
      <c r="N310" t="s">
        <v>44</v>
      </c>
      <c r="O310">
        <v>51</v>
      </c>
      <c r="P310" t="s">
        <v>27</v>
      </c>
      <c r="Q310" t="s">
        <v>66</v>
      </c>
      <c r="R310" t="s">
        <v>22</v>
      </c>
      <c r="S310" t="s">
        <v>167</v>
      </c>
      <c r="T310" s="1">
        <v>46549</v>
      </c>
      <c r="U310">
        <f t="shared" si="24"/>
        <v>340</v>
      </c>
      <c r="V310">
        <f t="shared" si="25"/>
        <v>240</v>
      </c>
      <c r="W310">
        <f t="shared" si="26"/>
        <v>100</v>
      </c>
      <c r="X310" s="5">
        <f t="shared" si="27"/>
        <v>0.29411764705882354</v>
      </c>
      <c r="Y310">
        <f t="shared" si="28"/>
        <v>2025</v>
      </c>
      <c r="Z310">
        <f t="shared" si="29"/>
        <v>1</v>
      </c>
    </row>
    <row r="311" spans="1:26" x14ac:dyDescent="0.3">
      <c r="A311" s="2">
        <v>1091</v>
      </c>
      <c r="B311" s="3">
        <v>45882</v>
      </c>
      <c r="C311" s="4" t="s">
        <v>47</v>
      </c>
      <c r="D311" s="4" t="s">
        <v>48</v>
      </c>
      <c r="E311" s="4" t="s">
        <v>49</v>
      </c>
      <c r="F311" s="4" t="s">
        <v>50</v>
      </c>
      <c r="G311" t="s">
        <v>51</v>
      </c>
      <c r="H311" s="2">
        <v>4</v>
      </c>
      <c r="I311" s="2">
        <v>35</v>
      </c>
      <c r="J311">
        <v>50</v>
      </c>
      <c r="K311">
        <v>0</v>
      </c>
      <c r="L311">
        <v>12</v>
      </c>
      <c r="M311" t="s">
        <v>25</v>
      </c>
      <c r="N311" t="s">
        <v>26</v>
      </c>
      <c r="O311">
        <v>74</v>
      </c>
      <c r="P311" t="s">
        <v>45</v>
      </c>
      <c r="Q311" t="s">
        <v>37</v>
      </c>
      <c r="R311" t="s">
        <v>22</v>
      </c>
      <c r="S311" t="s">
        <v>168</v>
      </c>
      <c r="T311" s="1">
        <v>46629</v>
      </c>
      <c r="U311">
        <f t="shared" si="24"/>
        <v>200</v>
      </c>
      <c r="V311">
        <f t="shared" si="25"/>
        <v>140</v>
      </c>
      <c r="W311">
        <f t="shared" si="26"/>
        <v>60</v>
      </c>
      <c r="X311" s="5">
        <f t="shared" si="27"/>
        <v>0.3</v>
      </c>
      <c r="Y311">
        <f t="shared" si="28"/>
        <v>2025</v>
      </c>
      <c r="Z311">
        <f t="shared" si="29"/>
        <v>8</v>
      </c>
    </row>
    <row r="312" spans="1:26" x14ac:dyDescent="0.3">
      <c r="A312" s="2">
        <v>1093</v>
      </c>
      <c r="B312" s="3">
        <v>45961</v>
      </c>
      <c r="C312" s="4" t="s">
        <v>105</v>
      </c>
      <c r="D312" s="4" t="s">
        <v>106</v>
      </c>
      <c r="E312" s="4" t="s">
        <v>22</v>
      </c>
      <c r="F312" s="4" t="s">
        <v>23</v>
      </c>
      <c r="G312" t="s">
        <v>51</v>
      </c>
      <c r="H312" s="2">
        <v>4</v>
      </c>
      <c r="I312" s="2">
        <v>95</v>
      </c>
      <c r="J312">
        <v>125</v>
      </c>
      <c r="K312">
        <v>5</v>
      </c>
      <c r="L312">
        <v>12</v>
      </c>
      <c r="M312" t="s">
        <v>43</v>
      </c>
      <c r="N312" t="s">
        <v>26</v>
      </c>
      <c r="O312">
        <v>67</v>
      </c>
      <c r="P312" t="s">
        <v>27</v>
      </c>
      <c r="Q312" t="s">
        <v>28</v>
      </c>
      <c r="R312" t="s">
        <v>86</v>
      </c>
      <c r="S312" t="s">
        <v>170</v>
      </c>
      <c r="T312" s="1">
        <v>46652</v>
      </c>
      <c r="U312">
        <f t="shared" si="24"/>
        <v>500</v>
      </c>
      <c r="V312">
        <f t="shared" si="25"/>
        <v>380</v>
      </c>
      <c r="W312">
        <f t="shared" si="26"/>
        <v>120</v>
      </c>
      <c r="X312" s="5">
        <f t="shared" si="27"/>
        <v>0.24</v>
      </c>
      <c r="Y312">
        <f t="shared" si="28"/>
        <v>2025</v>
      </c>
      <c r="Z312">
        <f t="shared" si="29"/>
        <v>10</v>
      </c>
    </row>
    <row r="313" spans="1:26" x14ac:dyDescent="0.3">
      <c r="A313" s="2">
        <v>1096</v>
      </c>
      <c r="B313" s="3">
        <v>45815</v>
      </c>
      <c r="C313" s="4" t="s">
        <v>92</v>
      </c>
      <c r="D313" s="4" t="s">
        <v>48</v>
      </c>
      <c r="E313" s="4" t="s">
        <v>54</v>
      </c>
      <c r="F313" s="4" t="s">
        <v>23</v>
      </c>
      <c r="G313" t="s">
        <v>82</v>
      </c>
      <c r="H313" s="2">
        <v>4</v>
      </c>
      <c r="I313" s="2">
        <v>18</v>
      </c>
      <c r="J313">
        <v>28</v>
      </c>
      <c r="K313">
        <v>0</v>
      </c>
      <c r="L313">
        <v>12</v>
      </c>
      <c r="M313" t="s">
        <v>25</v>
      </c>
      <c r="N313" t="s">
        <v>44</v>
      </c>
      <c r="O313">
        <v>44</v>
      </c>
      <c r="P313" t="s">
        <v>45</v>
      </c>
      <c r="Q313" t="s">
        <v>37</v>
      </c>
      <c r="R313" t="s">
        <v>54</v>
      </c>
      <c r="S313" t="s">
        <v>173</v>
      </c>
      <c r="T313" s="1">
        <v>46042</v>
      </c>
      <c r="U313">
        <f t="shared" si="24"/>
        <v>112</v>
      </c>
      <c r="V313">
        <f t="shared" si="25"/>
        <v>72</v>
      </c>
      <c r="W313">
        <f t="shared" si="26"/>
        <v>40</v>
      </c>
      <c r="X313" s="5">
        <f t="shared" si="27"/>
        <v>0.35714285714285715</v>
      </c>
      <c r="Y313">
        <f t="shared" si="28"/>
        <v>2025</v>
      </c>
      <c r="Z313">
        <f t="shared" si="29"/>
        <v>6</v>
      </c>
    </row>
    <row r="314" spans="1:26" x14ac:dyDescent="0.3">
      <c r="A314" s="2">
        <v>1104</v>
      </c>
      <c r="B314" s="3">
        <v>45795</v>
      </c>
      <c r="C314" s="4" t="s">
        <v>79</v>
      </c>
      <c r="D314" s="4" t="s">
        <v>80</v>
      </c>
      <c r="E314" s="4" t="s">
        <v>81</v>
      </c>
      <c r="F314" s="4" t="s">
        <v>23</v>
      </c>
      <c r="G314" t="s">
        <v>82</v>
      </c>
      <c r="H314" s="2">
        <v>4</v>
      </c>
      <c r="I314" s="2">
        <v>80</v>
      </c>
      <c r="J314">
        <v>110</v>
      </c>
      <c r="K314">
        <v>5</v>
      </c>
      <c r="L314">
        <v>12</v>
      </c>
      <c r="M314" t="s">
        <v>35</v>
      </c>
      <c r="N314" t="s">
        <v>44</v>
      </c>
      <c r="O314">
        <v>35</v>
      </c>
      <c r="P314" t="s">
        <v>36</v>
      </c>
      <c r="Q314" t="s">
        <v>28</v>
      </c>
      <c r="R314" t="s">
        <v>86</v>
      </c>
      <c r="S314" t="s">
        <v>181</v>
      </c>
      <c r="T314" s="1">
        <v>46344</v>
      </c>
      <c r="U314">
        <f t="shared" si="24"/>
        <v>440</v>
      </c>
      <c r="V314">
        <f t="shared" si="25"/>
        <v>320</v>
      </c>
      <c r="W314">
        <f t="shared" si="26"/>
        <v>120</v>
      </c>
      <c r="X314" s="5">
        <f t="shared" si="27"/>
        <v>0.27272727272727271</v>
      </c>
      <c r="Y314">
        <f t="shared" si="28"/>
        <v>2025</v>
      </c>
      <c r="Z314">
        <f t="shared" si="29"/>
        <v>5</v>
      </c>
    </row>
    <row r="315" spans="1:26" x14ac:dyDescent="0.3">
      <c r="A315" s="2">
        <v>1108</v>
      </c>
      <c r="B315" s="3">
        <v>45756</v>
      </c>
      <c r="C315" s="4" t="s">
        <v>98</v>
      </c>
      <c r="D315" s="4" t="s">
        <v>41</v>
      </c>
      <c r="E315" s="4" t="s">
        <v>33</v>
      </c>
      <c r="F315" s="4" t="s">
        <v>23</v>
      </c>
      <c r="G315" t="s">
        <v>82</v>
      </c>
      <c r="H315" s="2">
        <v>4</v>
      </c>
      <c r="I315" s="2">
        <v>22</v>
      </c>
      <c r="J315">
        <v>32</v>
      </c>
      <c r="K315">
        <v>5</v>
      </c>
      <c r="L315">
        <v>12</v>
      </c>
      <c r="M315" t="s">
        <v>35</v>
      </c>
      <c r="N315" t="s">
        <v>26</v>
      </c>
      <c r="O315">
        <v>25</v>
      </c>
      <c r="P315" t="s">
        <v>27</v>
      </c>
      <c r="Q315" t="s">
        <v>53</v>
      </c>
      <c r="R315" t="s">
        <v>54</v>
      </c>
      <c r="S315" t="s">
        <v>185</v>
      </c>
      <c r="T315" s="1">
        <v>46253</v>
      </c>
      <c r="U315">
        <f t="shared" si="24"/>
        <v>128</v>
      </c>
      <c r="V315">
        <f t="shared" si="25"/>
        <v>88</v>
      </c>
      <c r="W315">
        <f t="shared" si="26"/>
        <v>40</v>
      </c>
      <c r="X315" s="5">
        <f t="shared" si="27"/>
        <v>0.3125</v>
      </c>
      <c r="Y315">
        <f t="shared" si="28"/>
        <v>2025</v>
      </c>
      <c r="Z315">
        <f t="shared" si="29"/>
        <v>4</v>
      </c>
    </row>
    <row r="316" spans="1:26" x14ac:dyDescent="0.3">
      <c r="A316" s="2">
        <v>1111</v>
      </c>
      <c r="B316" s="3">
        <v>45966</v>
      </c>
      <c r="C316" s="4" t="s">
        <v>75</v>
      </c>
      <c r="D316" s="4" t="s">
        <v>41</v>
      </c>
      <c r="E316" s="4" t="s">
        <v>76</v>
      </c>
      <c r="F316" s="4" t="s">
        <v>23</v>
      </c>
      <c r="G316" t="s">
        <v>42</v>
      </c>
      <c r="H316" s="2">
        <v>4</v>
      </c>
      <c r="I316" s="2">
        <v>25</v>
      </c>
      <c r="J316">
        <v>35</v>
      </c>
      <c r="K316">
        <v>10</v>
      </c>
      <c r="L316">
        <v>12</v>
      </c>
      <c r="M316" t="s">
        <v>43</v>
      </c>
      <c r="N316" t="s">
        <v>26</v>
      </c>
      <c r="O316">
        <v>74</v>
      </c>
      <c r="P316" t="s">
        <v>36</v>
      </c>
      <c r="Q316" t="s">
        <v>66</v>
      </c>
      <c r="R316" t="s">
        <v>54</v>
      </c>
      <c r="S316" t="s">
        <v>188</v>
      </c>
      <c r="T316" s="1">
        <v>46803</v>
      </c>
      <c r="U316">
        <f t="shared" si="24"/>
        <v>140</v>
      </c>
      <c r="V316">
        <f t="shared" si="25"/>
        <v>100</v>
      </c>
      <c r="W316">
        <f t="shared" si="26"/>
        <v>40</v>
      </c>
      <c r="X316" s="5">
        <f t="shared" si="27"/>
        <v>0.2857142857142857</v>
      </c>
      <c r="Y316">
        <f t="shared" si="28"/>
        <v>2025</v>
      </c>
      <c r="Z316">
        <f t="shared" si="29"/>
        <v>11</v>
      </c>
    </row>
    <row r="317" spans="1:26" x14ac:dyDescent="0.3">
      <c r="A317" s="2">
        <v>1117</v>
      </c>
      <c r="B317" s="3">
        <v>46021</v>
      </c>
      <c r="C317" s="4" t="s">
        <v>56</v>
      </c>
      <c r="D317" s="4" t="s">
        <v>57</v>
      </c>
      <c r="E317" s="4" t="s">
        <v>58</v>
      </c>
      <c r="F317" s="4" t="s">
        <v>23</v>
      </c>
      <c r="G317" t="s">
        <v>24</v>
      </c>
      <c r="H317" s="2">
        <v>4</v>
      </c>
      <c r="I317" s="2">
        <v>75</v>
      </c>
      <c r="J317">
        <v>100</v>
      </c>
      <c r="K317">
        <v>0</v>
      </c>
      <c r="L317">
        <v>12</v>
      </c>
      <c r="M317" t="s">
        <v>35</v>
      </c>
      <c r="N317" t="s">
        <v>26</v>
      </c>
      <c r="O317">
        <v>61</v>
      </c>
      <c r="P317" t="s">
        <v>36</v>
      </c>
      <c r="Q317" t="s">
        <v>37</v>
      </c>
      <c r="R317" t="s">
        <v>29</v>
      </c>
      <c r="S317" t="s">
        <v>194</v>
      </c>
      <c r="T317" s="1">
        <v>46815</v>
      </c>
      <c r="U317">
        <f t="shared" si="24"/>
        <v>400</v>
      </c>
      <c r="V317">
        <f t="shared" si="25"/>
        <v>300</v>
      </c>
      <c r="W317">
        <f t="shared" si="26"/>
        <v>100</v>
      </c>
      <c r="X317" s="5">
        <f t="shared" si="27"/>
        <v>0.25</v>
      </c>
      <c r="Y317">
        <f t="shared" si="28"/>
        <v>2025</v>
      </c>
      <c r="Z317">
        <f t="shared" si="29"/>
        <v>12</v>
      </c>
    </row>
    <row r="318" spans="1:26" x14ac:dyDescent="0.3">
      <c r="A318" s="2">
        <v>1131</v>
      </c>
      <c r="B318" s="3">
        <v>45746</v>
      </c>
      <c r="C318" s="4" t="s">
        <v>61</v>
      </c>
      <c r="D318" s="4" t="s">
        <v>62</v>
      </c>
      <c r="E318" s="4" t="s">
        <v>63</v>
      </c>
      <c r="F318" s="4" t="s">
        <v>23</v>
      </c>
      <c r="G318" t="s">
        <v>64</v>
      </c>
      <c r="H318" s="2">
        <v>4</v>
      </c>
      <c r="I318" s="2">
        <v>12</v>
      </c>
      <c r="J318">
        <v>20</v>
      </c>
      <c r="K318">
        <v>5</v>
      </c>
      <c r="L318">
        <v>12</v>
      </c>
      <c r="M318" t="s">
        <v>25</v>
      </c>
      <c r="N318" t="s">
        <v>26</v>
      </c>
      <c r="O318">
        <v>23</v>
      </c>
      <c r="P318" t="s">
        <v>52</v>
      </c>
      <c r="Q318" t="s">
        <v>28</v>
      </c>
      <c r="R318" t="s">
        <v>54</v>
      </c>
      <c r="S318" t="s">
        <v>208</v>
      </c>
      <c r="T318" s="1">
        <v>46105</v>
      </c>
      <c r="U318">
        <f t="shared" si="24"/>
        <v>80</v>
      </c>
      <c r="V318">
        <f t="shared" si="25"/>
        <v>48</v>
      </c>
      <c r="W318">
        <f t="shared" si="26"/>
        <v>32</v>
      </c>
      <c r="X318" s="5">
        <f t="shared" si="27"/>
        <v>0.4</v>
      </c>
      <c r="Y318">
        <f t="shared" si="28"/>
        <v>2025</v>
      </c>
      <c r="Z318">
        <f t="shared" si="29"/>
        <v>3</v>
      </c>
    </row>
    <row r="319" spans="1:26" x14ac:dyDescent="0.3">
      <c r="A319" s="2">
        <v>1132</v>
      </c>
      <c r="B319" s="3">
        <v>45963</v>
      </c>
      <c r="C319" s="4" t="s">
        <v>20</v>
      </c>
      <c r="D319" s="4" t="s">
        <v>21</v>
      </c>
      <c r="E319" s="4" t="s">
        <v>22</v>
      </c>
      <c r="F319" s="4" t="s">
        <v>23</v>
      </c>
      <c r="G319" t="s">
        <v>24</v>
      </c>
      <c r="H319" s="2">
        <v>4</v>
      </c>
      <c r="I319" s="2">
        <v>60</v>
      </c>
      <c r="J319">
        <v>85</v>
      </c>
      <c r="K319">
        <v>5</v>
      </c>
      <c r="L319">
        <v>12</v>
      </c>
      <c r="M319" t="s">
        <v>25</v>
      </c>
      <c r="N319" t="s">
        <v>44</v>
      </c>
      <c r="O319">
        <v>74</v>
      </c>
      <c r="P319" t="s">
        <v>45</v>
      </c>
      <c r="Q319" t="s">
        <v>37</v>
      </c>
      <c r="R319" t="s">
        <v>38</v>
      </c>
      <c r="S319" t="s">
        <v>209</v>
      </c>
      <c r="T319" s="1">
        <v>46707</v>
      </c>
      <c r="U319">
        <f t="shared" si="24"/>
        <v>340</v>
      </c>
      <c r="V319">
        <f t="shared" si="25"/>
        <v>240</v>
      </c>
      <c r="W319">
        <f t="shared" si="26"/>
        <v>100</v>
      </c>
      <c r="X319" s="5">
        <f t="shared" si="27"/>
        <v>0.29411764705882354</v>
      </c>
      <c r="Y319">
        <f t="shared" si="28"/>
        <v>2025</v>
      </c>
      <c r="Z319">
        <f t="shared" si="29"/>
        <v>11</v>
      </c>
    </row>
    <row r="320" spans="1:26" x14ac:dyDescent="0.3">
      <c r="A320" s="2">
        <v>1136</v>
      </c>
      <c r="B320" s="3">
        <v>45757</v>
      </c>
      <c r="C320" s="4" t="s">
        <v>56</v>
      </c>
      <c r="D320" s="4" t="s">
        <v>57</v>
      </c>
      <c r="E320" s="4" t="s">
        <v>58</v>
      </c>
      <c r="F320" s="4" t="s">
        <v>23</v>
      </c>
      <c r="G320" t="s">
        <v>24</v>
      </c>
      <c r="H320" s="2">
        <v>4</v>
      </c>
      <c r="I320" s="2">
        <v>75</v>
      </c>
      <c r="J320">
        <v>100</v>
      </c>
      <c r="K320">
        <v>5</v>
      </c>
      <c r="L320">
        <v>12</v>
      </c>
      <c r="M320" t="s">
        <v>43</v>
      </c>
      <c r="N320" t="s">
        <v>44</v>
      </c>
      <c r="O320">
        <v>51</v>
      </c>
      <c r="P320" t="s">
        <v>36</v>
      </c>
      <c r="Q320" t="s">
        <v>59</v>
      </c>
      <c r="R320" t="s">
        <v>86</v>
      </c>
      <c r="S320" t="s">
        <v>213</v>
      </c>
      <c r="T320" s="1">
        <v>46359</v>
      </c>
      <c r="U320">
        <f t="shared" si="24"/>
        <v>400</v>
      </c>
      <c r="V320">
        <f t="shared" si="25"/>
        <v>300</v>
      </c>
      <c r="W320">
        <f t="shared" si="26"/>
        <v>100</v>
      </c>
      <c r="X320" s="5">
        <f t="shared" si="27"/>
        <v>0.25</v>
      </c>
      <c r="Y320">
        <f t="shared" si="28"/>
        <v>2025</v>
      </c>
      <c r="Z320">
        <f t="shared" si="29"/>
        <v>4</v>
      </c>
    </row>
    <row r="321" spans="1:26" x14ac:dyDescent="0.3">
      <c r="A321" s="2">
        <v>1137</v>
      </c>
      <c r="B321" s="3">
        <v>45985</v>
      </c>
      <c r="C321" s="4" t="s">
        <v>105</v>
      </c>
      <c r="D321" s="4" t="s">
        <v>106</v>
      </c>
      <c r="E321" s="4" t="s">
        <v>22</v>
      </c>
      <c r="F321" s="4" t="s">
        <v>23</v>
      </c>
      <c r="G321" t="s">
        <v>51</v>
      </c>
      <c r="H321" s="2">
        <v>4</v>
      </c>
      <c r="I321" s="2">
        <v>95</v>
      </c>
      <c r="J321">
        <v>125</v>
      </c>
      <c r="K321">
        <v>10</v>
      </c>
      <c r="L321">
        <v>12</v>
      </c>
      <c r="M321" t="s">
        <v>43</v>
      </c>
      <c r="N321" t="s">
        <v>26</v>
      </c>
      <c r="O321">
        <v>31</v>
      </c>
      <c r="P321" t="s">
        <v>45</v>
      </c>
      <c r="Q321" t="s">
        <v>66</v>
      </c>
      <c r="R321" t="s">
        <v>22</v>
      </c>
      <c r="S321" t="s">
        <v>214</v>
      </c>
      <c r="T321" s="1">
        <v>46177</v>
      </c>
      <c r="U321">
        <f t="shared" si="24"/>
        <v>500</v>
      </c>
      <c r="V321">
        <f t="shared" si="25"/>
        <v>380</v>
      </c>
      <c r="W321">
        <f t="shared" si="26"/>
        <v>120</v>
      </c>
      <c r="X321" s="5">
        <f t="shared" si="27"/>
        <v>0.24</v>
      </c>
      <c r="Y321">
        <f t="shared" si="28"/>
        <v>2025</v>
      </c>
      <c r="Z321">
        <f t="shared" si="29"/>
        <v>11</v>
      </c>
    </row>
    <row r="322" spans="1:26" x14ac:dyDescent="0.3">
      <c r="A322" s="2">
        <v>1138</v>
      </c>
      <c r="B322" s="3">
        <v>45990</v>
      </c>
      <c r="C322" s="4" t="s">
        <v>92</v>
      </c>
      <c r="D322" s="4" t="s">
        <v>48</v>
      </c>
      <c r="E322" s="4" t="s">
        <v>54</v>
      </c>
      <c r="F322" s="4" t="s">
        <v>23</v>
      </c>
      <c r="G322" t="s">
        <v>82</v>
      </c>
      <c r="H322" s="2">
        <v>4</v>
      </c>
      <c r="I322" s="2">
        <v>18</v>
      </c>
      <c r="J322">
        <v>28</v>
      </c>
      <c r="K322">
        <v>0</v>
      </c>
      <c r="L322">
        <v>12</v>
      </c>
      <c r="M322" t="s">
        <v>43</v>
      </c>
      <c r="N322" t="s">
        <v>26</v>
      </c>
      <c r="O322">
        <v>32</v>
      </c>
      <c r="P322" t="s">
        <v>52</v>
      </c>
      <c r="Q322" t="s">
        <v>53</v>
      </c>
      <c r="R322" t="s">
        <v>22</v>
      </c>
      <c r="S322" t="s">
        <v>215</v>
      </c>
      <c r="T322" s="1">
        <v>46225</v>
      </c>
      <c r="U322">
        <f t="shared" si="24"/>
        <v>112</v>
      </c>
      <c r="V322">
        <f t="shared" si="25"/>
        <v>72</v>
      </c>
      <c r="W322">
        <f t="shared" si="26"/>
        <v>40</v>
      </c>
      <c r="X322" s="5">
        <f t="shared" si="27"/>
        <v>0.35714285714285715</v>
      </c>
      <c r="Y322">
        <f t="shared" si="28"/>
        <v>2025</v>
      </c>
      <c r="Z322">
        <f t="shared" si="29"/>
        <v>11</v>
      </c>
    </row>
    <row r="323" spans="1:26" x14ac:dyDescent="0.3">
      <c r="A323" s="2">
        <v>1140</v>
      </c>
      <c r="B323" s="3">
        <v>45716</v>
      </c>
      <c r="C323" s="4" t="s">
        <v>79</v>
      </c>
      <c r="D323" s="4" t="s">
        <v>80</v>
      </c>
      <c r="E323" s="4" t="s">
        <v>81</v>
      </c>
      <c r="F323" s="4" t="s">
        <v>23</v>
      </c>
      <c r="G323" t="s">
        <v>82</v>
      </c>
      <c r="H323" s="2">
        <v>4</v>
      </c>
      <c r="I323" s="2">
        <v>80</v>
      </c>
      <c r="J323">
        <v>110</v>
      </c>
      <c r="K323">
        <v>10</v>
      </c>
      <c r="L323">
        <v>12</v>
      </c>
      <c r="M323" t="s">
        <v>43</v>
      </c>
      <c r="N323" t="s">
        <v>26</v>
      </c>
      <c r="O323">
        <v>25</v>
      </c>
      <c r="P323" t="s">
        <v>52</v>
      </c>
      <c r="Q323" t="s">
        <v>28</v>
      </c>
      <c r="R323" t="s">
        <v>54</v>
      </c>
      <c r="S323" t="s">
        <v>217</v>
      </c>
      <c r="T323" s="1">
        <v>46613</v>
      </c>
      <c r="U323">
        <f t="shared" ref="U323:U386" si="30">(H323*J323)</f>
        <v>440</v>
      </c>
      <c r="V323">
        <f t="shared" ref="V323:V386" si="31">(H323*I323)</f>
        <v>320</v>
      </c>
      <c r="W323">
        <f t="shared" ref="W323:W386" si="32">(U323-V323)</f>
        <v>120</v>
      </c>
      <c r="X323" s="5">
        <f t="shared" ref="X323:X386" si="33">(W323/U323)</f>
        <v>0.27272727272727271</v>
      </c>
      <c r="Y323">
        <f t="shared" ref="Y323:Y386" si="34">YEAR(B323)</f>
        <v>2025</v>
      </c>
      <c r="Z323">
        <f t="shared" ref="Z323:Z386" si="35">MONTH(B323)</f>
        <v>2</v>
      </c>
    </row>
    <row r="324" spans="1:26" x14ac:dyDescent="0.3">
      <c r="A324" s="2">
        <v>1146</v>
      </c>
      <c r="B324" s="3">
        <v>45767</v>
      </c>
      <c r="C324" s="4" t="s">
        <v>79</v>
      </c>
      <c r="D324" s="4" t="s">
        <v>80</v>
      </c>
      <c r="E324" s="4" t="s">
        <v>81</v>
      </c>
      <c r="F324" s="4" t="s">
        <v>23</v>
      </c>
      <c r="G324" t="s">
        <v>82</v>
      </c>
      <c r="H324" s="2">
        <v>4</v>
      </c>
      <c r="I324" s="2">
        <v>80</v>
      </c>
      <c r="J324">
        <v>110</v>
      </c>
      <c r="K324">
        <v>10</v>
      </c>
      <c r="L324">
        <v>12</v>
      </c>
      <c r="M324" t="s">
        <v>43</v>
      </c>
      <c r="N324" t="s">
        <v>44</v>
      </c>
      <c r="O324">
        <v>57</v>
      </c>
      <c r="P324" t="s">
        <v>45</v>
      </c>
      <c r="Q324" t="s">
        <v>28</v>
      </c>
      <c r="R324" t="s">
        <v>29</v>
      </c>
      <c r="S324" t="s">
        <v>222</v>
      </c>
      <c r="T324" s="1">
        <v>46632</v>
      </c>
      <c r="U324">
        <f t="shared" si="30"/>
        <v>440</v>
      </c>
      <c r="V324">
        <f t="shared" si="31"/>
        <v>320</v>
      </c>
      <c r="W324">
        <f t="shared" si="32"/>
        <v>120</v>
      </c>
      <c r="X324" s="5">
        <f t="shared" si="33"/>
        <v>0.27272727272727271</v>
      </c>
      <c r="Y324">
        <f t="shared" si="34"/>
        <v>2025</v>
      </c>
      <c r="Z324">
        <f t="shared" si="35"/>
        <v>4</v>
      </c>
    </row>
    <row r="325" spans="1:26" x14ac:dyDescent="0.3">
      <c r="A325" s="2">
        <v>1149</v>
      </c>
      <c r="B325" s="3">
        <v>45975</v>
      </c>
      <c r="C325" s="4" t="s">
        <v>108</v>
      </c>
      <c r="D325" s="4" t="s">
        <v>32</v>
      </c>
      <c r="E325" s="4" t="s">
        <v>109</v>
      </c>
      <c r="F325" s="4" t="s">
        <v>23</v>
      </c>
      <c r="G325" t="s">
        <v>82</v>
      </c>
      <c r="H325" s="2">
        <v>4</v>
      </c>
      <c r="I325" s="2">
        <v>90</v>
      </c>
      <c r="J325">
        <v>120</v>
      </c>
      <c r="K325">
        <v>5</v>
      </c>
      <c r="L325">
        <v>12</v>
      </c>
      <c r="M325" t="s">
        <v>43</v>
      </c>
      <c r="N325" t="s">
        <v>26</v>
      </c>
      <c r="O325">
        <v>37</v>
      </c>
      <c r="P325" t="s">
        <v>36</v>
      </c>
      <c r="Q325" t="s">
        <v>37</v>
      </c>
      <c r="R325" t="s">
        <v>38</v>
      </c>
      <c r="S325" t="s">
        <v>225</v>
      </c>
      <c r="T325" s="1">
        <v>46165</v>
      </c>
      <c r="U325">
        <f t="shared" si="30"/>
        <v>480</v>
      </c>
      <c r="V325">
        <f t="shared" si="31"/>
        <v>360</v>
      </c>
      <c r="W325">
        <f t="shared" si="32"/>
        <v>120</v>
      </c>
      <c r="X325" s="5">
        <f t="shared" si="33"/>
        <v>0.25</v>
      </c>
      <c r="Y325">
        <f t="shared" si="34"/>
        <v>2025</v>
      </c>
      <c r="Z325">
        <f t="shared" si="35"/>
        <v>11</v>
      </c>
    </row>
    <row r="326" spans="1:26" x14ac:dyDescent="0.3">
      <c r="A326" s="2">
        <v>1155</v>
      </c>
      <c r="B326" s="3">
        <v>45836</v>
      </c>
      <c r="C326" s="4" t="s">
        <v>31</v>
      </c>
      <c r="D326" s="4" t="s">
        <v>32</v>
      </c>
      <c r="E326" s="4" t="s">
        <v>33</v>
      </c>
      <c r="F326" s="4" t="s">
        <v>23</v>
      </c>
      <c r="G326" t="s">
        <v>34</v>
      </c>
      <c r="H326" s="2">
        <v>4</v>
      </c>
      <c r="I326" s="2">
        <v>140</v>
      </c>
      <c r="J326">
        <v>180</v>
      </c>
      <c r="K326">
        <v>10</v>
      </c>
      <c r="L326">
        <v>12</v>
      </c>
      <c r="M326" t="s">
        <v>43</v>
      </c>
      <c r="N326" t="s">
        <v>26</v>
      </c>
      <c r="O326">
        <v>28</v>
      </c>
      <c r="P326" t="s">
        <v>45</v>
      </c>
      <c r="Q326" t="s">
        <v>37</v>
      </c>
      <c r="R326" t="s">
        <v>29</v>
      </c>
      <c r="S326" t="s">
        <v>231</v>
      </c>
      <c r="T326" s="1">
        <v>46452</v>
      </c>
      <c r="U326">
        <f t="shared" si="30"/>
        <v>720</v>
      </c>
      <c r="V326">
        <f t="shared" si="31"/>
        <v>560</v>
      </c>
      <c r="W326">
        <f t="shared" si="32"/>
        <v>160</v>
      </c>
      <c r="X326" s="5">
        <f t="shared" si="33"/>
        <v>0.22222222222222221</v>
      </c>
      <c r="Y326">
        <f t="shared" si="34"/>
        <v>2025</v>
      </c>
      <c r="Z326">
        <f t="shared" si="35"/>
        <v>6</v>
      </c>
    </row>
    <row r="327" spans="1:26" x14ac:dyDescent="0.3">
      <c r="A327" s="2">
        <v>1175</v>
      </c>
      <c r="B327" s="3">
        <v>45674</v>
      </c>
      <c r="C327" s="4" t="s">
        <v>61</v>
      </c>
      <c r="D327" s="4" t="s">
        <v>62</v>
      </c>
      <c r="E327" s="4" t="s">
        <v>63</v>
      </c>
      <c r="F327" s="4" t="s">
        <v>23</v>
      </c>
      <c r="G327" t="s">
        <v>64</v>
      </c>
      <c r="H327" s="2">
        <v>4</v>
      </c>
      <c r="I327" s="2">
        <v>12</v>
      </c>
      <c r="J327">
        <v>20</v>
      </c>
      <c r="K327">
        <v>10</v>
      </c>
      <c r="L327">
        <v>12</v>
      </c>
      <c r="M327" t="s">
        <v>35</v>
      </c>
      <c r="N327" t="s">
        <v>26</v>
      </c>
      <c r="O327">
        <v>26</v>
      </c>
      <c r="P327" t="s">
        <v>27</v>
      </c>
      <c r="Q327" t="s">
        <v>37</v>
      </c>
      <c r="R327" t="s">
        <v>54</v>
      </c>
      <c r="S327" t="s">
        <v>251</v>
      </c>
      <c r="T327" s="1">
        <v>46423</v>
      </c>
      <c r="U327">
        <f t="shared" si="30"/>
        <v>80</v>
      </c>
      <c r="V327">
        <f t="shared" si="31"/>
        <v>48</v>
      </c>
      <c r="W327">
        <f t="shared" si="32"/>
        <v>32</v>
      </c>
      <c r="X327" s="5">
        <f t="shared" si="33"/>
        <v>0.4</v>
      </c>
      <c r="Y327">
        <f t="shared" si="34"/>
        <v>2025</v>
      </c>
      <c r="Z327">
        <f t="shared" si="35"/>
        <v>1</v>
      </c>
    </row>
    <row r="328" spans="1:26" x14ac:dyDescent="0.3">
      <c r="A328" s="2">
        <v>1180</v>
      </c>
      <c r="B328" s="3">
        <v>45802</v>
      </c>
      <c r="C328" s="4" t="s">
        <v>31</v>
      </c>
      <c r="D328" s="4" t="s">
        <v>32</v>
      </c>
      <c r="E328" s="4" t="s">
        <v>33</v>
      </c>
      <c r="F328" s="4" t="s">
        <v>23</v>
      </c>
      <c r="G328" t="s">
        <v>34</v>
      </c>
      <c r="H328" s="2">
        <v>4</v>
      </c>
      <c r="I328" s="2">
        <v>140</v>
      </c>
      <c r="J328">
        <v>180</v>
      </c>
      <c r="K328">
        <v>5</v>
      </c>
      <c r="L328">
        <v>12</v>
      </c>
      <c r="M328" t="s">
        <v>35</v>
      </c>
      <c r="N328" t="s">
        <v>26</v>
      </c>
      <c r="O328">
        <v>53</v>
      </c>
      <c r="P328" t="s">
        <v>36</v>
      </c>
      <c r="Q328" t="s">
        <v>59</v>
      </c>
      <c r="R328" t="s">
        <v>86</v>
      </c>
      <c r="S328" t="s">
        <v>256</v>
      </c>
      <c r="T328" s="1">
        <v>46406</v>
      </c>
      <c r="U328">
        <f t="shared" si="30"/>
        <v>720</v>
      </c>
      <c r="V328">
        <f t="shared" si="31"/>
        <v>560</v>
      </c>
      <c r="W328">
        <f t="shared" si="32"/>
        <v>160</v>
      </c>
      <c r="X328" s="5">
        <f t="shared" si="33"/>
        <v>0.22222222222222221</v>
      </c>
      <c r="Y328">
        <f t="shared" si="34"/>
        <v>2025</v>
      </c>
      <c r="Z328">
        <f t="shared" si="35"/>
        <v>5</v>
      </c>
    </row>
    <row r="329" spans="1:26" x14ac:dyDescent="0.3">
      <c r="A329" s="2">
        <v>1184</v>
      </c>
      <c r="B329" s="3">
        <v>45997</v>
      </c>
      <c r="C329" s="4" t="s">
        <v>105</v>
      </c>
      <c r="D329" s="4" t="s">
        <v>106</v>
      </c>
      <c r="E329" s="4" t="s">
        <v>22</v>
      </c>
      <c r="F329" s="4" t="s">
        <v>23</v>
      </c>
      <c r="G329" t="s">
        <v>51</v>
      </c>
      <c r="H329" s="2">
        <v>4</v>
      </c>
      <c r="I329" s="2">
        <v>95</v>
      </c>
      <c r="J329">
        <v>125</v>
      </c>
      <c r="K329">
        <v>10</v>
      </c>
      <c r="L329">
        <v>12</v>
      </c>
      <c r="M329" t="s">
        <v>43</v>
      </c>
      <c r="N329" t="s">
        <v>44</v>
      </c>
      <c r="O329">
        <v>26</v>
      </c>
      <c r="P329" t="s">
        <v>27</v>
      </c>
      <c r="Q329" t="s">
        <v>28</v>
      </c>
      <c r="R329" t="s">
        <v>54</v>
      </c>
      <c r="S329" t="s">
        <v>260</v>
      </c>
      <c r="T329" s="1">
        <v>46238</v>
      </c>
      <c r="U329">
        <f t="shared" si="30"/>
        <v>500</v>
      </c>
      <c r="V329">
        <f t="shared" si="31"/>
        <v>380</v>
      </c>
      <c r="W329">
        <f t="shared" si="32"/>
        <v>120</v>
      </c>
      <c r="X329" s="5">
        <f t="shared" si="33"/>
        <v>0.24</v>
      </c>
      <c r="Y329">
        <f t="shared" si="34"/>
        <v>2025</v>
      </c>
      <c r="Z329">
        <f t="shared" si="35"/>
        <v>12</v>
      </c>
    </row>
    <row r="330" spans="1:26" x14ac:dyDescent="0.3">
      <c r="A330" s="2">
        <v>1186</v>
      </c>
      <c r="B330" s="3">
        <v>45874</v>
      </c>
      <c r="C330" s="4" t="s">
        <v>75</v>
      </c>
      <c r="D330" s="4" t="s">
        <v>41</v>
      </c>
      <c r="E330" s="4" t="s">
        <v>76</v>
      </c>
      <c r="F330" s="4" t="s">
        <v>23</v>
      </c>
      <c r="G330" t="s">
        <v>42</v>
      </c>
      <c r="H330" s="2">
        <v>4</v>
      </c>
      <c r="I330" s="2">
        <v>25</v>
      </c>
      <c r="J330">
        <v>35</v>
      </c>
      <c r="K330">
        <v>0</v>
      </c>
      <c r="L330">
        <v>12</v>
      </c>
      <c r="M330" t="s">
        <v>35</v>
      </c>
      <c r="N330" t="s">
        <v>26</v>
      </c>
      <c r="O330">
        <v>53</v>
      </c>
      <c r="P330" t="s">
        <v>36</v>
      </c>
      <c r="Q330" t="s">
        <v>28</v>
      </c>
      <c r="R330" t="s">
        <v>86</v>
      </c>
      <c r="S330" t="s">
        <v>262</v>
      </c>
      <c r="T330" s="1">
        <v>46342</v>
      </c>
      <c r="U330">
        <f t="shared" si="30"/>
        <v>140</v>
      </c>
      <c r="V330">
        <f t="shared" si="31"/>
        <v>100</v>
      </c>
      <c r="W330">
        <f t="shared" si="32"/>
        <v>40</v>
      </c>
      <c r="X330" s="5">
        <f t="shared" si="33"/>
        <v>0.2857142857142857</v>
      </c>
      <c r="Y330">
        <f t="shared" si="34"/>
        <v>2025</v>
      </c>
      <c r="Z330">
        <f t="shared" si="35"/>
        <v>8</v>
      </c>
    </row>
    <row r="331" spans="1:26" x14ac:dyDescent="0.3">
      <c r="A331" s="2">
        <v>1189</v>
      </c>
      <c r="B331" s="3">
        <v>45702</v>
      </c>
      <c r="C331" s="4" t="s">
        <v>69</v>
      </c>
      <c r="D331" s="4" t="s">
        <v>48</v>
      </c>
      <c r="E331" s="4" t="s">
        <v>70</v>
      </c>
      <c r="F331" s="4" t="s">
        <v>50</v>
      </c>
      <c r="G331" t="s">
        <v>71</v>
      </c>
      <c r="H331" s="2">
        <v>4</v>
      </c>
      <c r="I331" s="2">
        <v>25</v>
      </c>
      <c r="J331">
        <v>38</v>
      </c>
      <c r="K331">
        <v>5</v>
      </c>
      <c r="L331">
        <v>12</v>
      </c>
      <c r="M331" t="s">
        <v>35</v>
      </c>
      <c r="N331" t="s">
        <v>26</v>
      </c>
      <c r="O331">
        <v>50</v>
      </c>
      <c r="P331" t="s">
        <v>27</v>
      </c>
      <c r="Q331" t="s">
        <v>28</v>
      </c>
      <c r="R331" t="s">
        <v>86</v>
      </c>
      <c r="S331" t="s">
        <v>265</v>
      </c>
      <c r="T331" s="1">
        <v>46449</v>
      </c>
      <c r="U331">
        <f t="shared" si="30"/>
        <v>152</v>
      </c>
      <c r="V331">
        <f t="shared" si="31"/>
        <v>100</v>
      </c>
      <c r="W331">
        <f t="shared" si="32"/>
        <v>52</v>
      </c>
      <c r="X331" s="5">
        <f t="shared" si="33"/>
        <v>0.34210526315789475</v>
      </c>
      <c r="Y331">
        <f t="shared" si="34"/>
        <v>2025</v>
      </c>
      <c r="Z331">
        <f t="shared" si="35"/>
        <v>2</v>
      </c>
    </row>
    <row r="332" spans="1:26" x14ac:dyDescent="0.3">
      <c r="A332" s="2">
        <v>1191</v>
      </c>
      <c r="B332" s="3">
        <v>45845</v>
      </c>
      <c r="C332" s="4" t="s">
        <v>69</v>
      </c>
      <c r="D332" s="4" t="s">
        <v>48</v>
      </c>
      <c r="E332" s="4" t="s">
        <v>70</v>
      </c>
      <c r="F332" s="4" t="s">
        <v>50</v>
      </c>
      <c r="G332" t="s">
        <v>71</v>
      </c>
      <c r="H332" s="2">
        <v>4</v>
      </c>
      <c r="I332" s="2">
        <v>25</v>
      </c>
      <c r="J332">
        <v>38</v>
      </c>
      <c r="K332">
        <v>0</v>
      </c>
      <c r="L332">
        <v>12</v>
      </c>
      <c r="M332" t="s">
        <v>43</v>
      </c>
      <c r="N332" t="s">
        <v>44</v>
      </c>
      <c r="O332">
        <v>33</v>
      </c>
      <c r="P332" t="s">
        <v>27</v>
      </c>
      <c r="Q332" t="s">
        <v>53</v>
      </c>
      <c r="R332" t="s">
        <v>29</v>
      </c>
      <c r="S332" t="s">
        <v>267</v>
      </c>
      <c r="T332" s="1">
        <v>46503</v>
      </c>
      <c r="U332">
        <f t="shared" si="30"/>
        <v>152</v>
      </c>
      <c r="V332">
        <f t="shared" si="31"/>
        <v>100</v>
      </c>
      <c r="W332">
        <f t="shared" si="32"/>
        <v>52</v>
      </c>
      <c r="X332" s="5">
        <f t="shared" si="33"/>
        <v>0.34210526315789475</v>
      </c>
      <c r="Y332">
        <f t="shared" si="34"/>
        <v>2025</v>
      </c>
      <c r="Z332">
        <f t="shared" si="35"/>
        <v>7</v>
      </c>
    </row>
    <row r="333" spans="1:26" x14ac:dyDescent="0.3">
      <c r="A333" s="2">
        <v>1193</v>
      </c>
      <c r="B333" s="3">
        <v>45990</v>
      </c>
      <c r="C333" s="4" t="s">
        <v>134</v>
      </c>
      <c r="D333" s="4" t="s">
        <v>21</v>
      </c>
      <c r="E333" s="4" t="s">
        <v>29</v>
      </c>
      <c r="F333" s="4" t="s">
        <v>50</v>
      </c>
      <c r="G333" t="s">
        <v>24</v>
      </c>
      <c r="H333" s="2">
        <v>4</v>
      </c>
      <c r="I333" s="2">
        <v>70</v>
      </c>
      <c r="J333">
        <v>95</v>
      </c>
      <c r="K333">
        <v>0</v>
      </c>
      <c r="L333">
        <v>12</v>
      </c>
      <c r="M333" t="s">
        <v>25</v>
      </c>
      <c r="N333" t="s">
        <v>44</v>
      </c>
      <c r="O333">
        <v>25</v>
      </c>
      <c r="P333" t="s">
        <v>27</v>
      </c>
      <c r="Q333" t="s">
        <v>28</v>
      </c>
      <c r="R333" t="s">
        <v>22</v>
      </c>
      <c r="S333" t="s">
        <v>269</v>
      </c>
      <c r="T333" s="1">
        <v>46764</v>
      </c>
      <c r="U333">
        <f t="shared" si="30"/>
        <v>380</v>
      </c>
      <c r="V333">
        <f t="shared" si="31"/>
        <v>280</v>
      </c>
      <c r="W333">
        <f t="shared" si="32"/>
        <v>100</v>
      </c>
      <c r="X333" s="5">
        <f t="shared" si="33"/>
        <v>0.26315789473684209</v>
      </c>
      <c r="Y333">
        <f t="shared" si="34"/>
        <v>2025</v>
      </c>
      <c r="Z333">
        <f t="shared" si="35"/>
        <v>11</v>
      </c>
    </row>
    <row r="334" spans="1:26" x14ac:dyDescent="0.3">
      <c r="A334" s="2">
        <v>1195</v>
      </c>
      <c r="B334" s="3">
        <v>45790</v>
      </c>
      <c r="C334" s="4" t="s">
        <v>92</v>
      </c>
      <c r="D334" s="4" t="s">
        <v>48</v>
      </c>
      <c r="E334" s="4" t="s">
        <v>54</v>
      </c>
      <c r="F334" s="4" t="s">
        <v>23</v>
      </c>
      <c r="G334" t="s">
        <v>82</v>
      </c>
      <c r="H334" s="2">
        <v>4</v>
      </c>
      <c r="I334" s="2">
        <v>18</v>
      </c>
      <c r="J334">
        <v>28</v>
      </c>
      <c r="K334">
        <v>5</v>
      </c>
      <c r="L334">
        <v>12</v>
      </c>
      <c r="M334" t="s">
        <v>43</v>
      </c>
      <c r="N334" t="s">
        <v>26</v>
      </c>
      <c r="O334">
        <v>23</v>
      </c>
      <c r="P334" t="s">
        <v>45</v>
      </c>
      <c r="Q334" t="s">
        <v>37</v>
      </c>
      <c r="R334" t="s">
        <v>86</v>
      </c>
      <c r="S334" t="s">
        <v>271</v>
      </c>
      <c r="T334" s="1">
        <v>46391</v>
      </c>
      <c r="U334">
        <f t="shared" si="30"/>
        <v>112</v>
      </c>
      <c r="V334">
        <f t="shared" si="31"/>
        <v>72</v>
      </c>
      <c r="W334">
        <f t="shared" si="32"/>
        <v>40</v>
      </c>
      <c r="X334" s="5">
        <f t="shared" si="33"/>
        <v>0.35714285714285715</v>
      </c>
      <c r="Y334">
        <f t="shared" si="34"/>
        <v>2025</v>
      </c>
      <c r="Z334">
        <f t="shared" si="35"/>
        <v>5</v>
      </c>
    </row>
    <row r="335" spans="1:26" x14ac:dyDescent="0.3">
      <c r="A335" s="2">
        <v>1206</v>
      </c>
      <c r="B335" s="3">
        <v>45809</v>
      </c>
      <c r="C335" s="4" t="s">
        <v>47</v>
      </c>
      <c r="D335" s="4" t="s">
        <v>48</v>
      </c>
      <c r="E335" s="4" t="s">
        <v>49</v>
      </c>
      <c r="F335" s="4" t="s">
        <v>50</v>
      </c>
      <c r="G335" t="s">
        <v>51</v>
      </c>
      <c r="H335" s="2">
        <v>4</v>
      </c>
      <c r="I335" s="2">
        <v>35</v>
      </c>
      <c r="J335">
        <v>50</v>
      </c>
      <c r="K335">
        <v>0</v>
      </c>
      <c r="L335">
        <v>12</v>
      </c>
      <c r="M335" t="s">
        <v>43</v>
      </c>
      <c r="N335" t="s">
        <v>26</v>
      </c>
      <c r="O335">
        <v>30</v>
      </c>
      <c r="P335" t="s">
        <v>52</v>
      </c>
      <c r="Q335" t="s">
        <v>53</v>
      </c>
      <c r="R335" t="s">
        <v>38</v>
      </c>
      <c r="S335" t="s">
        <v>282</v>
      </c>
      <c r="T335" s="1">
        <v>46515</v>
      </c>
      <c r="U335">
        <f t="shared" si="30"/>
        <v>200</v>
      </c>
      <c r="V335">
        <f t="shared" si="31"/>
        <v>140</v>
      </c>
      <c r="W335">
        <f t="shared" si="32"/>
        <v>60</v>
      </c>
      <c r="X335" s="5">
        <f t="shared" si="33"/>
        <v>0.3</v>
      </c>
      <c r="Y335">
        <f t="shared" si="34"/>
        <v>2025</v>
      </c>
      <c r="Z335">
        <f t="shared" si="35"/>
        <v>6</v>
      </c>
    </row>
    <row r="336" spans="1:26" x14ac:dyDescent="0.3">
      <c r="A336" s="2">
        <v>1209</v>
      </c>
      <c r="B336" s="3">
        <v>45675</v>
      </c>
      <c r="C336" s="4" t="s">
        <v>69</v>
      </c>
      <c r="D336" s="4" t="s">
        <v>48</v>
      </c>
      <c r="E336" s="4" t="s">
        <v>70</v>
      </c>
      <c r="F336" s="4" t="s">
        <v>50</v>
      </c>
      <c r="G336" t="s">
        <v>71</v>
      </c>
      <c r="H336" s="2">
        <v>4</v>
      </c>
      <c r="I336" s="2">
        <v>25</v>
      </c>
      <c r="J336">
        <v>38</v>
      </c>
      <c r="K336">
        <v>0</v>
      </c>
      <c r="L336">
        <v>12</v>
      </c>
      <c r="M336" t="s">
        <v>35</v>
      </c>
      <c r="N336" t="s">
        <v>44</v>
      </c>
      <c r="O336">
        <v>29</v>
      </c>
      <c r="P336" t="s">
        <v>27</v>
      </c>
      <c r="Q336" t="s">
        <v>37</v>
      </c>
      <c r="R336" t="s">
        <v>54</v>
      </c>
      <c r="S336" t="s">
        <v>285</v>
      </c>
      <c r="T336" s="1">
        <v>46303</v>
      </c>
      <c r="U336">
        <f t="shared" si="30"/>
        <v>152</v>
      </c>
      <c r="V336">
        <f t="shared" si="31"/>
        <v>100</v>
      </c>
      <c r="W336">
        <f t="shared" si="32"/>
        <v>52</v>
      </c>
      <c r="X336" s="5">
        <f t="shared" si="33"/>
        <v>0.34210526315789475</v>
      </c>
      <c r="Y336">
        <f t="shared" si="34"/>
        <v>2025</v>
      </c>
      <c r="Z336">
        <f t="shared" si="35"/>
        <v>1</v>
      </c>
    </row>
    <row r="337" spans="1:26" x14ac:dyDescent="0.3">
      <c r="A337" s="2">
        <v>1212</v>
      </c>
      <c r="B337" s="3">
        <v>45793</v>
      </c>
      <c r="C337" s="4" t="s">
        <v>108</v>
      </c>
      <c r="D337" s="4" t="s">
        <v>32</v>
      </c>
      <c r="E337" s="4" t="s">
        <v>109</v>
      </c>
      <c r="F337" s="4" t="s">
        <v>23</v>
      </c>
      <c r="G337" t="s">
        <v>82</v>
      </c>
      <c r="H337" s="2">
        <v>4</v>
      </c>
      <c r="I337" s="2">
        <v>90</v>
      </c>
      <c r="J337">
        <v>120</v>
      </c>
      <c r="K337">
        <v>0</v>
      </c>
      <c r="L337">
        <v>12</v>
      </c>
      <c r="M337" t="s">
        <v>25</v>
      </c>
      <c r="N337" t="s">
        <v>44</v>
      </c>
      <c r="O337">
        <v>41</v>
      </c>
      <c r="P337" t="s">
        <v>27</v>
      </c>
      <c r="Q337" t="s">
        <v>59</v>
      </c>
      <c r="R337" t="s">
        <v>22</v>
      </c>
      <c r="S337" t="s">
        <v>288</v>
      </c>
      <c r="T337" s="1">
        <v>46400</v>
      </c>
      <c r="U337">
        <f t="shared" si="30"/>
        <v>480</v>
      </c>
      <c r="V337">
        <f t="shared" si="31"/>
        <v>360</v>
      </c>
      <c r="W337">
        <f t="shared" si="32"/>
        <v>120</v>
      </c>
      <c r="X337" s="5">
        <f t="shared" si="33"/>
        <v>0.25</v>
      </c>
      <c r="Y337">
        <f t="shared" si="34"/>
        <v>2025</v>
      </c>
      <c r="Z337">
        <f t="shared" si="35"/>
        <v>5</v>
      </c>
    </row>
    <row r="338" spans="1:26" x14ac:dyDescent="0.3">
      <c r="A338" s="2">
        <v>1213</v>
      </c>
      <c r="B338" s="3">
        <v>45790</v>
      </c>
      <c r="C338" s="4" t="s">
        <v>61</v>
      </c>
      <c r="D338" s="4" t="s">
        <v>62</v>
      </c>
      <c r="E338" s="4" t="s">
        <v>63</v>
      </c>
      <c r="F338" s="4" t="s">
        <v>23</v>
      </c>
      <c r="G338" t="s">
        <v>64</v>
      </c>
      <c r="H338" s="2">
        <v>4</v>
      </c>
      <c r="I338" s="2">
        <v>12</v>
      </c>
      <c r="J338">
        <v>20</v>
      </c>
      <c r="K338">
        <v>10</v>
      </c>
      <c r="L338">
        <v>12</v>
      </c>
      <c r="M338" t="s">
        <v>43</v>
      </c>
      <c r="N338" t="s">
        <v>26</v>
      </c>
      <c r="O338">
        <v>66</v>
      </c>
      <c r="P338" t="s">
        <v>52</v>
      </c>
      <c r="Q338" t="s">
        <v>28</v>
      </c>
      <c r="R338" t="s">
        <v>38</v>
      </c>
      <c r="S338" t="s">
        <v>289</v>
      </c>
      <c r="T338" s="1">
        <v>46029</v>
      </c>
      <c r="U338">
        <f t="shared" si="30"/>
        <v>80</v>
      </c>
      <c r="V338">
        <f t="shared" si="31"/>
        <v>48</v>
      </c>
      <c r="W338">
        <f t="shared" si="32"/>
        <v>32</v>
      </c>
      <c r="X338" s="5">
        <f t="shared" si="33"/>
        <v>0.4</v>
      </c>
      <c r="Y338">
        <f t="shared" si="34"/>
        <v>2025</v>
      </c>
      <c r="Z338">
        <f t="shared" si="35"/>
        <v>5</v>
      </c>
    </row>
    <row r="339" spans="1:26" x14ac:dyDescent="0.3">
      <c r="A339" s="2">
        <v>1222</v>
      </c>
      <c r="B339" s="3">
        <v>46000</v>
      </c>
      <c r="C339" s="4" t="s">
        <v>84</v>
      </c>
      <c r="D339" s="4" t="s">
        <v>85</v>
      </c>
      <c r="E339" s="4" t="s">
        <v>63</v>
      </c>
      <c r="F339" s="4" t="s">
        <v>23</v>
      </c>
      <c r="G339" t="s">
        <v>82</v>
      </c>
      <c r="H339" s="2">
        <v>4</v>
      </c>
      <c r="I339" s="2">
        <v>45</v>
      </c>
      <c r="J339">
        <v>65</v>
      </c>
      <c r="K339">
        <v>5</v>
      </c>
      <c r="L339">
        <v>12</v>
      </c>
      <c r="M339" t="s">
        <v>35</v>
      </c>
      <c r="N339" t="s">
        <v>26</v>
      </c>
      <c r="O339">
        <v>26</v>
      </c>
      <c r="P339" t="s">
        <v>45</v>
      </c>
      <c r="Q339" t="s">
        <v>37</v>
      </c>
      <c r="R339" t="s">
        <v>54</v>
      </c>
      <c r="S339" t="s">
        <v>298</v>
      </c>
      <c r="T339" s="1">
        <v>46859</v>
      </c>
      <c r="U339">
        <f t="shared" si="30"/>
        <v>260</v>
      </c>
      <c r="V339">
        <f t="shared" si="31"/>
        <v>180</v>
      </c>
      <c r="W339">
        <f t="shared" si="32"/>
        <v>80</v>
      </c>
      <c r="X339" s="5">
        <f t="shared" si="33"/>
        <v>0.30769230769230771</v>
      </c>
      <c r="Y339">
        <f t="shared" si="34"/>
        <v>2025</v>
      </c>
      <c r="Z339">
        <f t="shared" si="35"/>
        <v>12</v>
      </c>
    </row>
    <row r="340" spans="1:26" x14ac:dyDescent="0.3">
      <c r="A340" s="2">
        <v>1231</v>
      </c>
      <c r="B340" s="3">
        <v>45719</v>
      </c>
      <c r="C340" s="4" t="s">
        <v>98</v>
      </c>
      <c r="D340" s="4" t="s">
        <v>41</v>
      </c>
      <c r="E340" s="4" t="s">
        <v>33</v>
      </c>
      <c r="F340" s="4" t="s">
        <v>23</v>
      </c>
      <c r="G340" t="s">
        <v>82</v>
      </c>
      <c r="H340" s="2">
        <v>4</v>
      </c>
      <c r="I340" s="2">
        <v>22</v>
      </c>
      <c r="J340">
        <v>32</v>
      </c>
      <c r="K340">
        <v>5</v>
      </c>
      <c r="L340">
        <v>12</v>
      </c>
      <c r="M340" t="s">
        <v>25</v>
      </c>
      <c r="N340" t="s">
        <v>26</v>
      </c>
      <c r="O340">
        <v>46</v>
      </c>
      <c r="P340" t="s">
        <v>45</v>
      </c>
      <c r="Q340" t="s">
        <v>53</v>
      </c>
      <c r="R340" t="s">
        <v>54</v>
      </c>
      <c r="S340" t="s">
        <v>307</v>
      </c>
      <c r="T340" s="1">
        <v>46085</v>
      </c>
      <c r="U340">
        <f t="shared" si="30"/>
        <v>128</v>
      </c>
      <c r="V340">
        <f t="shared" si="31"/>
        <v>88</v>
      </c>
      <c r="W340">
        <f t="shared" si="32"/>
        <v>40</v>
      </c>
      <c r="X340" s="5">
        <f t="shared" si="33"/>
        <v>0.3125</v>
      </c>
      <c r="Y340">
        <f t="shared" si="34"/>
        <v>2025</v>
      </c>
      <c r="Z340">
        <f t="shared" si="35"/>
        <v>3</v>
      </c>
    </row>
    <row r="341" spans="1:26" x14ac:dyDescent="0.3">
      <c r="A341" s="2">
        <v>1241</v>
      </c>
      <c r="B341" s="3">
        <v>45677</v>
      </c>
      <c r="C341" s="4" t="s">
        <v>56</v>
      </c>
      <c r="D341" s="4" t="s">
        <v>57</v>
      </c>
      <c r="E341" s="4" t="s">
        <v>58</v>
      </c>
      <c r="F341" s="4" t="s">
        <v>23</v>
      </c>
      <c r="G341" t="s">
        <v>24</v>
      </c>
      <c r="H341" s="2">
        <v>4</v>
      </c>
      <c r="I341" s="2">
        <v>75</v>
      </c>
      <c r="J341">
        <v>100</v>
      </c>
      <c r="K341">
        <v>10</v>
      </c>
      <c r="L341">
        <v>12</v>
      </c>
      <c r="M341" t="s">
        <v>25</v>
      </c>
      <c r="N341" t="s">
        <v>44</v>
      </c>
      <c r="O341">
        <v>36</v>
      </c>
      <c r="P341" t="s">
        <v>36</v>
      </c>
      <c r="Q341" t="s">
        <v>66</v>
      </c>
      <c r="R341" t="s">
        <v>22</v>
      </c>
      <c r="S341" t="s">
        <v>317</v>
      </c>
      <c r="T341" s="1">
        <v>46417</v>
      </c>
      <c r="U341">
        <f t="shared" si="30"/>
        <v>400</v>
      </c>
      <c r="V341">
        <f t="shared" si="31"/>
        <v>300</v>
      </c>
      <c r="W341">
        <f t="shared" si="32"/>
        <v>100</v>
      </c>
      <c r="X341" s="5">
        <f t="shared" si="33"/>
        <v>0.25</v>
      </c>
      <c r="Y341">
        <f t="shared" si="34"/>
        <v>2025</v>
      </c>
      <c r="Z341">
        <f t="shared" si="35"/>
        <v>1</v>
      </c>
    </row>
    <row r="342" spans="1:26" x14ac:dyDescent="0.3">
      <c r="A342" s="2">
        <v>1243</v>
      </c>
      <c r="B342" s="3">
        <v>45946</v>
      </c>
      <c r="C342" s="4" t="s">
        <v>84</v>
      </c>
      <c r="D342" s="4" t="s">
        <v>85</v>
      </c>
      <c r="E342" s="4" t="s">
        <v>63</v>
      </c>
      <c r="F342" s="4" t="s">
        <v>23</v>
      </c>
      <c r="G342" t="s">
        <v>82</v>
      </c>
      <c r="H342" s="2">
        <v>4</v>
      </c>
      <c r="I342" s="2">
        <v>45</v>
      </c>
      <c r="J342">
        <v>65</v>
      </c>
      <c r="K342">
        <v>0</v>
      </c>
      <c r="L342">
        <v>12</v>
      </c>
      <c r="M342" t="s">
        <v>25</v>
      </c>
      <c r="N342" t="s">
        <v>44</v>
      </c>
      <c r="O342">
        <v>59</v>
      </c>
      <c r="P342" t="s">
        <v>36</v>
      </c>
      <c r="Q342" t="s">
        <v>66</v>
      </c>
      <c r="R342" t="s">
        <v>29</v>
      </c>
      <c r="S342" t="s">
        <v>319</v>
      </c>
      <c r="T342" s="1">
        <v>46435</v>
      </c>
      <c r="U342">
        <f t="shared" si="30"/>
        <v>260</v>
      </c>
      <c r="V342">
        <f t="shared" si="31"/>
        <v>180</v>
      </c>
      <c r="W342">
        <f t="shared" si="32"/>
        <v>80</v>
      </c>
      <c r="X342" s="5">
        <f t="shared" si="33"/>
        <v>0.30769230769230771</v>
      </c>
      <c r="Y342">
        <f t="shared" si="34"/>
        <v>2025</v>
      </c>
      <c r="Z342">
        <f t="shared" si="35"/>
        <v>10</v>
      </c>
    </row>
    <row r="343" spans="1:26" x14ac:dyDescent="0.3">
      <c r="A343" s="2">
        <v>1254</v>
      </c>
      <c r="B343" s="3">
        <v>45952</v>
      </c>
      <c r="C343" s="4" t="s">
        <v>92</v>
      </c>
      <c r="D343" s="4" t="s">
        <v>48</v>
      </c>
      <c r="E343" s="4" t="s">
        <v>54</v>
      </c>
      <c r="F343" s="4" t="s">
        <v>23</v>
      </c>
      <c r="G343" t="s">
        <v>82</v>
      </c>
      <c r="H343" s="2">
        <v>4</v>
      </c>
      <c r="I343" s="2">
        <v>18</v>
      </c>
      <c r="J343">
        <v>28</v>
      </c>
      <c r="K343">
        <v>0</v>
      </c>
      <c r="L343">
        <v>12</v>
      </c>
      <c r="M343" t="s">
        <v>25</v>
      </c>
      <c r="N343" t="s">
        <v>26</v>
      </c>
      <c r="O343">
        <v>57</v>
      </c>
      <c r="P343" t="s">
        <v>27</v>
      </c>
      <c r="Q343" t="s">
        <v>66</v>
      </c>
      <c r="R343" t="s">
        <v>22</v>
      </c>
      <c r="S343" t="s">
        <v>329</v>
      </c>
      <c r="T343" s="1">
        <v>46193</v>
      </c>
      <c r="U343">
        <f t="shared" si="30"/>
        <v>112</v>
      </c>
      <c r="V343">
        <f t="shared" si="31"/>
        <v>72</v>
      </c>
      <c r="W343">
        <f t="shared" si="32"/>
        <v>40</v>
      </c>
      <c r="X343" s="5">
        <f t="shared" si="33"/>
        <v>0.35714285714285715</v>
      </c>
      <c r="Y343">
        <f t="shared" si="34"/>
        <v>2025</v>
      </c>
      <c r="Z343">
        <f t="shared" si="35"/>
        <v>10</v>
      </c>
    </row>
    <row r="344" spans="1:26" x14ac:dyDescent="0.3">
      <c r="A344" s="2">
        <v>1265</v>
      </c>
      <c r="B344" s="3">
        <v>45780</v>
      </c>
      <c r="C344" s="4" t="s">
        <v>84</v>
      </c>
      <c r="D344" s="4" t="s">
        <v>85</v>
      </c>
      <c r="E344" s="4" t="s">
        <v>63</v>
      </c>
      <c r="F344" s="4" t="s">
        <v>23</v>
      </c>
      <c r="G344" t="s">
        <v>82</v>
      </c>
      <c r="H344" s="2">
        <v>4</v>
      </c>
      <c r="I344" s="2">
        <v>45</v>
      </c>
      <c r="J344">
        <v>65</v>
      </c>
      <c r="K344">
        <v>0</v>
      </c>
      <c r="L344">
        <v>12</v>
      </c>
      <c r="M344" t="s">
        <v>43</v>
      </c>
      <c r="N344" t="s">
        <v>44</v>
      </c>
      <c r="O344">
        <v>41</v>
      </c>
      <c r="P344" t="s">
        <v>27</v>
      </c>
      <c r="Q344" t="s">
        <v>53</v>
      </c>
      <c r="R344" t="s">
        <v>29</v>
      </c>
      <c r="S344" t="s">
        <v>340</v>
      </c>
      <c r="T344" s="1">
        <v>46399</v>
      </c>
      <c r="U344">
        <f t="shared" si="30"/>
        <v>260</v>
      </c>
      <c r="V344">
        <f t="shared" si="31"/>
        <v>180</v>
      </c>
      <c r="W344">
        <f t="shared" si="32"/>
        <v>80</v>
      </c>
      <c r="X344" s="5">
        <f t="shared" si="33"/>
        <v>0.30769230769230771</v>
      </c>
      <c r="Y344">
        <f t="shared" si="34"/>
        <v>2025</v>
      </c>
      <c r="Z344">
        <f t="shared" si="35"/>
        <v>5</v>
      </c>
    </row>
    <row r="345" spans="1:26" x14ac:dyDescent="0.3">
      <c r="A345" s="2">
        <v>1266</v>
      </c>
      <c r="B345" s="3">
        <v>45992</v>
      </c>
      <c r="C345" s="4" t="s">
        <v>69</v>
      </c>
      <c r="D345" s="4" t="s">
        <v>48</v>
      </c>
      <c r="E345" s="4" t="s">
        <v>70</v>
      </c>
      <c r="F345" s="4" t="s">
        <v>50</v>
      </c>
      <c r="G345" t="s">
        <v>71</v>
      </c>
      <c r="H345" s="2">
        <v>4</v>
      </c>
      <c r="I345" s="2">
        <v>25</v>
      </c>
      <c r="J345">
        <v>38</v>
      </c>
      <c r="K345">
        <v>10</v>
      </c>
      <c r="L345">
        <v>12</v>
      </c>
      <c r="M345" t="s">
        <v>25</v>
      </c>
      <c r="N345" t="s">
        <v>44</v>
      </c>
      <c r="O345">
        <v>49</v>
      </c>
      <c r="P345" t="s">
        <v>45</v>
      </c>
      <c r="Q345" t="s">
        <v>37</v>
      </c>
      <c r="R345" t="s">
        <v>29</v>
      </c>
      <c r="S345" t="s">
        <v>341</v>
      </c>
      <c r="T345" s="1">
        <v>46587</v>
      </c>
      <c r="U345">
        <f t="shared" si="30"/>
        <v>152</v>
      </c>
      <c r="V345">
        <f t="shared" si="31"/>
        <v>100</v>
      </c>
      <c r="W345">
        <f t="shared" si="32"/>
        <v>52</v>
      </c>
      <c r="X345" s="5">
        <f t="shared" si="33"/>
        <v>0.34210526315789475</v>
      </c>
      <c r="Y345">
        <f t="shared" si="34"/>
        <v>2025</v>
      </c>
      <c r="Z345">
        <f t="shared" si="35"/>
        <v>12</v>
      </c>
    </row>
    <row r="346" spans="1:26" x14ac:dyDescent="0.3">
      <c r="A346" s="2">
        <v>1270</v>
      </c>
      <c r="B346" s="3">
        <v>45753</v>
      </c>
      <c r="C346" s="4" t="s">
        <v>75</v>
      </c>
      <c r="D346" s="4" t="s">
        <v>41</v>
      </c>
      <c r="E346" s="4" t="s">
        <v>76</v>
      </c>
      <c r="F346" s="4" t="s">
        <v>23</v>
      </c>
      <c r="G346" t="s">
        <v>42</v>
      </c>
      <c r="H346" s="2">
        <v>4</v>
      </c>
      <c r="I346" s="2">
        <v>25</v>
      </c>
      <c r="J346">
        <v>35</v>
      </c>
      <c r="K346">
        <v>0</v>
      </c>
      <c r="L346">
        <v>12</v>
      </c>
      <c r="M346" t="s">
        <v>43</v>
      </c>
      <c r="N346" t="s">
        <v>44</v>
      </c>
      <c r="O346">
        <v>71</v>
      </c>
      <c r="P346" t="s">
        <v>36</v>
      </c>
      <c r="Q346" t="s">
        <v>28</v>
      </c>
      <c r="R346" t="s">
        <v>86</v>
      </c>
      <c r="S346" t="s">
        <v>345</v>
      </c>
      <c r="T346" s="1">
        <v>46606</v>
      </c>
      <c r="U346">
        <f t="shared" si="30"/>
        <v>140</v>
      </c>
      <c r="V346">
        <f t="shared" si="31"/>
        <v>100</v>
      </c>
      <c r="W346">
        <f t="shared" si="32"/>
        <v>40</v>
      </c>
      <c r="X346" s="5">
        <f t="shared" si="33"/>
        <v>0.2857142857142857</v>
      </c>
      <c r="Y346">
        <f t="shared" si="34"/>
        <v>2025</v>
      </c>
      <c r="Z346">
        <f t="shared" si="35"/>
        <v>4</v>
      </c>
    </row>
    <row r="347" spans="1:26" x14ac:dyDescent="0.3">
      <c r="A347" s="2">
        <v>1279</v>
      </c>
      <c r="B347" s="3">
        <v>45976</v>
      </c>
      <c r="C347" s="4" t="s">
        <v>79</v>
      </c>
      <c r="D347" s="4" t="s">
        <v>80</v>
      </c>
      <c r="E347" s="4" t="s">
        <v>81</v>
      </c>
      <c r="F347" s="4" t="s">
        <v>23</v>
      </c>
      <c r="G347" t="s">
        <v>82</v>
      </c>
      <c r="H347" s="2">
        <v>4</v>
      </c>
      <c r="I347" s="2">
        <v>80</v>
      </c>
      <c r="J347">
        <v>110</v>
      </c>
      <c r="K347">
        <v>10</v>
      </c>
      <c r="L347">
        <v>12</v>
      </c>
      <c r="M347" t="s">
        <v>25</v>
      </c>
      <c r="N347" t="s">
        <v>26</v>
      </c>
      <c r="O347">
        <v>73</v>
      </c>
      <c r="P347" t="s">
        <v>52</v>
      </c>
      <c r="Q347" t="s">
        <v>28</v>
      </c>
      <c r="R347" t="s">
        <v>86</v>
      </c>
      <c r="S347" t="s">
        <v>354</v>
      </c>
      <c r="T347" s="1">
        <v>46233</v>
      </c>
      <c r="U347">
        <f t="shared" si="30"/>
        <v>440</v>
      </c>
      <c r="V347">
        <f t="shared" si="31"/>
        <v>320</v>
      </c>
      <c r="W347">
        <f t="shared" si="32"/>
        <v>120</v>
      </c>
      <c r="X347" s="5">
        <f t="shared" si="33"/>
        <v>0.27272727272727271</v>
      </c>
      <c r="Y347">
        <f t="shared" si="34"/>
        <v>2025</v>
      </c>
      <c r="Z347">
        <f t="shared" si="35"/>
        <v>11</v>
      </c>
    </row>
    <row r="348" spans="1:26" x14ac:dyDescent="0.3">
      <c r="A348" s="2">
        <v>1280</v>
      </c>
      <c r="B348" s="3">
        <v>46016</v>
      </c>
      <c r="C348" s="4" t="s">
        <v>31</v>
      </c>
      <c r="D348" s="4" t="s">
        <v>32</v>
      </c>
      <c r="E348" s="4" t="s">
        <v>33</v>
      </c>
      <c r="F348" s="4" t="s">
        <v>23</v>
      </c>
      <c r="G348" t="s">
        <v>34</v>
      </c>
      <c r="H348" s="2">
        <v>4</v>
      </c>
      <c r="I348" s="2">
        <v>140</v>
      </c>
      <c r="J348">
        <v>180</v>
      </c>
      <c r="K348">
        <v>10</v>
      </c>
      <c r="L348">
        <v>12</v>
      </c>
      <c r="M348" t="s">
        <v>25</v>
      </c>
      <c r="N348" t="s">
        <v>44</v>
      </c>
      <c r="O348">
        <v>56</v>
      </c>
      <c r="P348" t="s">
        <v>52</v>
      </c>
      <c r="Q348" t="s">
        <v>37</v>
      </c>
      <c r="R348" t="s">
        <v>38</v>
      </c>
      <c r="S348" t="s">
        <v>355</v>
      </c>
      <c r="T348" s="1">
        <v>46886</v>
      </c>
      <c r="U348">
        <f t="shared" si="30"/>
        <v>720</v>
      </c>
      <c r="V348">
        <f t="shared" si="31"/>
        <v>560</v>
      </c>
      <c r="W348">
        <f t="shared" si="32"/>
        <v>160</v>
      </c>
      <c r="X348" s="5">
        <f t="shared" si="33"/>
        <v>0.22222222222222221</v>
      </c>
      <c r="Y348">
        <f t="shared" si="34"/>
        <v>2025</v>
      </c>
      <c r="Z348">
        <f t="shared" si="35"/>
        <v>12</v>
      </c>
    </row>
    <row r="349" spans="1:26" x14ac:dyDescent="0.3">
      <c r="A349" s="2">
        <v>1286</v>
      </c>
      <c r="B349" s="3">
        <v>45961</v>
      </c>
      <c r="C349" s="4" t="s">
        <v>98</v>
      </c>
      <c r="D349" s="4" t="s">
        <v>41</v>
      </c>
      <c r="E349" s="4" t="s">
        <v>33</v>
      </c>
      <c r="F349" s="4" t="s">
        <v>23</v>
      </c>
      <c r="G349" t="s">
        <v>82</v>
      </c>
      <c r="H349" s="2">
        <v>4</v>
      </c>
      <c r="I349" s="2">
        <v>22</v>
      </c>
      <c r="J349">
        <v>32</v>
      </c>
      <c r="K349">
        <v>0</v>
      </c>
      <c r="L349">
        <v>12</v>
      </c>
      <c r="M349" t="s">
        <v>35</v>
      </c>
      <c r="N349" t="s">
        <v>26</v>
      </c>
      <c r="O349">
        <v>51</v>
      </c>
      <c r="P349" t="s">
        <v>27</v>
      </c>
      <c r="Q349" t="s">
        <v>66</v>
      </c>
      <c r="R349" t="s">
        <v>22</v>
      </c>
      <c r="S349" t="s">
        <v>361</v>
      </c>
      <c r="T349" s="1">
        <v>46750</v>
      </c>
      <c r="U349">
        <f t="shared" si="30"/>
        <v>128</v>
      </c>
      <c r="V349">
        <f t="shared" si="31"/>
        <v>88</v>
      </c>
      <c r="W349">
        <f t="shared" si="32"/>
        <v>40</v>
      </c>
      <c r="X349" s="5">
        <f t="shared" si="33"/>
        <v>0.3125</v>
      </c>
      <c r="Y349">
        <f t="shared" si="34"/>
        <v>2025</v>
      </c>
      <c r="Z349">
        <f t="shared" si="35"/>
        <v>10</v>
      </c>
    </row>
    <row r="350" spans="1:26" x14ac:dyDescent="0.3">
      <c r="A350" s="2">
        <v>1290</v>
      </c>
      <c r="B350" s="3">
        <v>45897</v>
      </c>
      <c r="C350" s="4" t="s">
        <v>75</v>
      </c>
      <c r="D350" s="4" t="s">
        <v>41</v>
      </c>
      <c r="E350" s="4" t="s">
        <v>76</v>
      </c>
      <c r="F350" s="4" t="s">
        <v>23</v>
      </c>
      <c r="G350" t="s">
        <v>42</v>
      </c>
      <c r="H350" s="2">
        <v>4</v>
      </c>
      <c r="I350" s="2">
        <v>25</v>
      </c>
      <c r="J350">
        <v>35</v>
      </c>
      <c r="K350">
        <v>5</v>
      </c>
      <c r="L350">
        <v>12</v>
      </c>
      <c r="M350" t="s">
        <v>25</v>
      </c>
      <c r="N350" t="s">
        <v>44</v>
      </c>
      <c r="O350">
        <v>36</v>
      </c>
      <c r="P350" t="s">
        <v>52</v>
      </c>
      <c r="Q350" t="s">
        <v>66</v>
      </c>
      <c r="R350" t="s">
        <v>38</v>
      </c>
      <c r="S350" t="s">
        <v>365</v>
      </c>
      <c r="T350" s="1">
        <v>46407</v>
      </c>
      <c r="U350">
        <f t="shared" si="30"/>
        <v>140</v>
      </c>
      <c r="V350">
        <f t="shared" si="31"/>
        <v>100</v>
      </c>
      <c r="W350">
        <f t="shared" si="32"/>
        <v>40</v>
      </c>
      <c r="X350" s="5">
        <f t="shared" si="33"/>
        <v>0.2857142857142857</v>
      </c>
      <c r="Y350">
        <f t="shared" si="34"/>
        <v>2025</v>
      </c>
      <c r="Z350">
        <f t="shared" si="35"/>
        <v>8</v>
      </c>
    </row>
    <row r="351" spans="1:26" x14ac:dyDescent="0.3">
      <c r="A351" s="2">
        <v>1291</v>
      </c>
      <c r="B351" s="3">
        <v>45740</v>
      </c>
      <c r="C351" s="4" t="s">
        <v>134</v>
      </c>
      <c r="D351" s="4" t="s">
        <v>21</v>
      </c>
      <c r="E351" s="4" t="s">
        <v>29</v>
      </c>
      <c r="F351" s="4" t="s">
        <v>50</v>
      </c>
      <c r="G351" t="s">
        <v>24</v>
      </c>
      <c r="H351" s="2">
        <v>4</v>
      </c>
      <c r="I351" s="2">
        <v>70</v>
      </c>
      <c r="J351">
        <v>95</v>
      </c>
      <c r="K351">
        <v>5</v>
      </c>
      <c r="L351">
        <v>12</v>
      </c>
      <c r="M351" t="s">
        <v>25</v>
      </c>
      <c r="N351" t="s">
        <v>44</v>
      </c>
      <c r="O351">
        <v>21</v>
      </c>
      <c r="P351" t="s">
        <v>45</v>
      </c>
      <c r="Q351" t="s">
        <v>37</v>
      </c>
      <c r="R351" t="s">
        <v>38</v>
      </c>
      <c r="S351" t="s">
        <v>366</v>
      </c>
      <c r="T351" s="1">
        <v>45933</v>
      </c>
      <c r="U351">
        <f t="shared" si="30"/>
        <v>380</v>
      </c>
      <c r="V351">
        <f t="shared" si="31"/>
        <v>280</v>
      </c>
      <c r="W351">
        <f t="shared" si="32"/>
        <v>100</v>
      </c>
      <c r="X351" s="5">
        <f t="shared" si="33"/>
        <v>0.26315789473684209</v>
      </c>
      <c r="Y351">
        <f t="shared" si="34"/>
        <v>2025</v>
      </c>
      <c r="Z351">
        <f t="shared" si="35"/>
        <v>3</v>
      </c>
    </row>
    <row r="352" spans="1:26" x14ac:dyDescent="0.3">
      <c r="A352" s="2">
        <v>1292</v>
      </c>
      <c r="B352" s="3">
        <v>45914</v>
      </c>
      <c r="C352" s="4" t="s">
        <v>69</v>
      </c>
      <c r="D352" s="4" t="s">
        <v>48</v>
      </c>
      <c r="E352" s="4" t="s">
        <v>70</v>
      </c>
      <c r="F352" s="4" t="s">
        <v>50</v>
      </c>
      <c r="G352" t="s">
        <v>71</v>
      </c>
      <c r="H352" s="2">
        <v>4</v>
      </c>
      <c r="I352" s="2">
        <v>25</v>
      </c>
      <c r="J352">
        <v>38</v>
      </c>
      <c r="K352">
        <v>0</v>
      </c>
      <c r="L352">
        <v>12</v>
      </c>
      <c r="M352" t="s">
        <v>25</v>
      </c>
      <c r="N352" t="s">
        <v>26</v>
      </c>
      <c r="O352">
        <v>44</v>
      </c>
      <c r="P352" t="s">
        <v>45</v>
      </c>
      <c r="Q352" t="s">
        <v>37</v>
      </c>
      <c r="R352" t="s">
        <v>86</v>
      </c>
      <c r="S352" t="s">
        <v>367</v>
      </c>
      <c r="T352" s="1">
        <v>46106</v>
      </c>
      <c r="U352">
        <f t="shared" si="30"/>
        <v>152</v>
      </c>
      <c r="V352">
        <f t="shared" si="31"/>
        <v>100</v>
      </c>
      <c r="W352">
        <f t="shared" si="32"/>
        <v>52</v>
      </c>
      <c r="X352" s="5">
        <f t="shared" si="33"/>
        <v>0.34210526315789475</v>
      </c>
      <c r="Y352">
        <f t="shared" si="34"/>
        <v>2025</v>
      </c>
      <c r="Z352">
        <f t="shared" si="35"/>
        <v>9</v>
      </c>
    </row>
    <row r="353" spans="1:26" x14ac:dyDescent="0.3">
      <c r="A353" s="2">
        <v>1296</v>
      </c>
      <c r="B353" s="3">
        <v>45835</v>
      </c>
      <c r="C353" s="4" t="s">
        <v>105</v>
      </c>
      <c r="D353" s="4" t="s">
        <v>106</v>
      </c>
      <c r="E353" s="4" t="s">
        <v>22</v>
      </c>
      <c r="F353" s="4" t="s">
        <v>23</v>
      </c>
      <c r="G353" t="s">
        <v>51</v>
      </c>
      <c r="H353" s="2">
        <v>4</v>
      </c>
      <c r="I353" s="2">
        <v>95</v>
      </c>
      <c r="J353">
        <v>125</v>
      </c>
      <c r="K353">
        <v>10</v>
      </c>
      <c r="L353">
        <v>12</v>
      </c>
      <c r="M353" t="s">
        <v>43</v>
      </c>
      <c r="N353" t="s">
        <v>26</v>
      </c>
      <c r="O353">
        <v>27</v>
      </c>
      <c r="P353" t="s">
        <v>45</v>
      </c>
      <c r="Q353" t="s">
        <v>28</v>
      </c>
      <c r="R353" t="s">
        <v>86</v>
      </c>
      <c r="S353" t="s">
        <v>371</v>
      </c>
      <c r="T353" s="1">
        <v>46093</v>
      </c>
      <c r="U353">
        <f t="shared" si="30"/>
        <v>500</v>
      </c>
      <c r="V353">
        <f t="shared" si="31"/>
        <v>380</v>
      </c>
      <c r="W353">
        <f t="shared" si="32"/>
        <v>120</v>
      </c>
      <c r="X353" s="5">
        <f t="shared" si="33"/>
        <v>0.24</v>
      </c>
      <c r="Y353">
        <f t="shared" si="34"/>
        <v>2025</v>
      </c>
      <c r="Z353">
        <f t="shared" si="35"/>
        <v>6</v>
      </c>
    </row>
    <row r="354" spans="1:26" x14ac:dyDescent="0.3">
      <c r="A354" s="2">
        <v>1300</v>
      </c>
      <c r="B354" s="3">
        <v>45726</v>
      </c>
      <c r="C354" s="4" t="s">
        <v>20</v>
      </c>
      <c r="D354" s="4" t="s">
        <v>21</v>
      </c>
      <c r="E354" s="4" t="s">
        <v>22</v>
      </c>
      <c r="F354" s="4" t="s">
        <v>23</v>
      </c>
      <c r="G354" t="s">
        <v>24</v>
      </c>
      <c r="H354" s="2">
        <v>4</v>
      </c>
      <c r="I354" s="2">
        <v>60</v>
      </c>
      <c r="J354">
        <v>85</v>
      </c>
      <c r="K354">
        <v>10</v>
      </c>
      <c r="L354">
        <v>12</v>
      </c>
      <c r="M354" t="s">
        <v>25</v>
      </c>
      <c r="N354" t="s">
        <v>44</v>
      </c>
      <c r="O354">
        <v>72</v>
      </c>
      <c r="P354" t="s">
        <v>36</v>
      </c>
      <c r="Q354" t="s">
        <v>37</v>
      </c>
      <c r="R354" t="s">
        <v>38</v>
      </c>
      <c r="S354" t="s">
        <v>375</v>
      </c>
      <c r="T354" s="1">
        <v>46478</v>
      </c>
      <c r="U354">
        <f t="shared" si="30"/>
        <v>340</v>
      </c>
      <c r="V354">
        <f t="shared" si="31"/>
        <v>240</v>
      </c>
      <c r="W354">
        <f t="shared" si="32"/>
        <v>100</v>
      </c>
      <c r="X354" s="5">
        <f t="shared" si="33"/>
        <v>0.29411764705882354</v>
      </c>
      <c r="Y354">
        <f t="shared" si="34"/>
        <v>2025</v>
      </c>
      <c r="Z354">
        <f t="shared" si="35"/>
        <v>3</v>
      </c>
    </row>
    <row r="355" spans="1:26" x14ac:dyDescent="0.3">
      <c r="A355" s="2">
        <v>1301</v>
      </c>
      <c r="B355" s="3">
        <v>45742</v>
      </c>
      <c r="C355" s="4" t="s">
        <v>20</v>
      </c>
      <c r="D355" s="4" t="s">
        <v>21</v>
      </c>
      <c r="E355" s="4" t="s">
        <v>22</v>
      </c>
      <c r="F355" s="4" t="s">
        <v>23</v>
      </c>
      <c r="G355" t="s">
        <v>24</v>
      </c>
      <c r="H355" s="2">
        <v>4</v>
      </c>
      <c r="I355" s="2">
        <v>60</v>
      </c>
      <c r="J355">
        <v>85</v>
      </c>
      <c r="K355">
        <v>5</v>
      </c>
      <c r="L355">
        <v>12</v>
      </c>
      <c r="M355" t="s">
        <v>25</v>
      </c>
      <c r="N355" t="s">
        <v>44</v>
      </c>
      <c r="O355">
        <v>47</v>
      </c>
      <c r="P355" t="s">
        <v>27</v>
      </c>
      <c r="Q355" t="s">
        <v>37</v>
      </c>
      <c r="R355" t="s">
        <v>22</v>
      </c>
      <c r="S355" t="s">
        <v>376</v>
      </c>
      <c r="T355" s="1">
        <v>46123</v>
      </c>
      <c r="U355">
        <f t="shared" si="30"/>
        <v>340</v>
      </c>
      <c r="V355">
        <f t="shared" si="31"/>
        <v>240</v>
      </c>
      <c r="W355">
        <f t="shared" si="32"/>
        <v>100</v>
      </c>
      <c r="X355" s="5">
        <f t="shared" si="33"/>
        <v>0.29411764705882354</v>
      </c>
      <c r="Y355">
        <f t="shared" si="34"/>
        <v>2025</v>
      </c>
      <c r="Z355">
        <f t="shared" si="35"/>
        <v>3</v>
      </c>
    </row>
    <row r="356" spans="1:26" x14ac:dyDescent="0.3">
      <c r="A356" s="2">
        <v>1303</v>
      </c>
      <c r="B356" s="3">
        <v>45990</v>
      </c>
      <c r="C356" s="4" t="s">
        <v>75</v>
      </c>
      <c r="D356" s="4" t="s">
        <v>41</v>
      </c>
      <c r="E356" s="4" t="s">
        <v>76</v>
      </c>
      <c r="F356" s="4" t="s">
        <v>23</v>
      </c>
      <c r="G356" t="s">
        <v>42</v>
      </c>
      <c r="H356" s="2">
        <v>4</v>
      </c>
      <c r="I356" s="2">
        <v>25</v>
      </c>
      <c r="J356">
        <v>35</v>
      </c>
      <c r="K356">
        <v>0</v>
      </c>
      <c r="L356">
        <v>12</v>
      </c>
      <c r="M356" t="s">
        <v>35</v>
      </c>
      <c r="N356" t="s">
        <v>44</v>
      </c>
      <c r="O356">
        <v>22</v>
      </c>
      <c r="P356" t="s">
        <v>45</v>
      </c>
      <c r="Q356" t="s">
        <v>37</v>
      </c>
      <c r="R356" t="s">
        <v>54</v>
      </c>
      <c r="S356" t="s">
        <v>378</v>
      </c>
      <c r="T356" s="1">
        <v>46841</v>
      </c>
      <c r="U356">
        <f t="shared" si="30"/>
        <v>140</v>
      </c>
      <c r="V356">
        <f t="shared" si="31"/>
        <v>100</v>
      </c>
      <c r="W356">
        <f t="shared" si="32"/>
        <v>40</v>
      </c>
      <c r="X356" s="5">
        <f t="shared" si="33"/>
        <v>0.2857142857142857</v>
      </c>
      <c r="Y356">
        <f t="shared" si="34"/>
        <v>2025</v>
      </c>
      <c r="Z356">
        <f t="shared" si="35"/>
        <v>11</v>
      </c>
    </row>
    <row r="357" spans="1:26" x14ac:dyDescent="0.3">
      <c r="A357" s="2">
        <v>1307</v>
      </c>
      <c r="B357" s="3">
        <v>45983</v>
      </c>
      <c r="C357" s="4" t="s">
        <v>40</v>
      </c>
      <c r="D357" s="4" t="s">
        <v>41</v>
      </c>
      <c r="E357" s="4" t="s">
        <v>33</v>
      </c>
      <c r="F357" s="4" t="s">
        <v>23</v>
      </c>
      <c r="G357" t="s">
        <v>42</v>
      </c>
      <c r="H357" s="2">
        <v>4</v>
      </c>
      <c r="I357" s="2">
        <v>24</v>
      </c>
      <c r="J357">
        <v>34</v>
      </c>
      <c r="K357">
        <v>10</v>
      </c>
      <c r="L357">
        <v>12</v>
      </c>
      <c r="M357" t="s">
        <v>25</v>
      </c>
      <c r="N357" t="s">
        <v>26</v>
      </c>
      <c r="O357">
        <v>40</v>
      </c>
      <c r="P357" t="s">
        <v>45</v>
      </c>
      <c r="Q357" t="s">
        <v>53</v>
      </c>
      <c r="R357" t="s">
        <v>29</v>
      </c>
      <c r="S357" t="s">
        <v>382</v>
      </c>
      <c r="T357" s="1">
        <v>46496</v>
      </c>
      <c r="U357">
        <f t="shared" si="30"/>
        <v>136</v>
      </c>
      <c r="V357">
        <f t="shared" si="31"/>
        <v>96</v>
      </c>
      <c r="W357">
        <f t="shared" si="32"/>
        <v>40</v>
      </c>
      <c r="X357" s="5">
        <f t="shared" si="33"/>
        <v>0.29411764705882354</v>
      </c>
      <c r="Y357">
        <f t="shared" si="34"/>
        <v>2025</v>
      </c>
      <c r="Z357">
        <f t="shared" si="35"/>
        <v>11</v>
      </c>
    </row>
    <row r="358" spans="1:26" x14ac:dyDescent="0.3">
      <c r="A358" s="2">
        <v>1315</v>
      </c>
      <c r="B358" s="3">
        <v>45898</v>
      </c>
      <c r="C358" s="4" t="s">
        <v>61</v>
      </c>
      <c r="D358" s="4" t="s">
        <v>62</v>
      </c>
      <c r="E358" s="4" t="s">
        <v>63</v>
      </c>
      <c r="F358" s="4" t="s">
        <v>23</v>
      </c>
      <c r="G358" t="s">
        <v>64</v>
      </c>
      <c r="H358" s="2">
        <v>4</v>
      </c>
      <c r="I358" s="2">
        <v>12</v>
      </c>
      <c r="J358">
        <v>20</v>
      </c>
      <c r="K358">
        <v>10</v>
      </c>
      <c r="L358">
        <v>12</v>
      </c>
      <c r="M358" t="s">
        <v>35</v>
      </c>
      <c r="N358" t="s">
        <v>44</v>
      </c>
      <c r="O358">
        <v>24</v>
      </c>
      <c r="P358" t="s">
        <v>27</v>
      </c>
      <c r="Q358" t="s">
        <v>53</v>
      </c>
      <c r="R358" t="s">
        <v>38</v>
      </c>
      <c r="S358" t="s">
        <v>389</v>
      </c>
      <c r="T358" s="1">
        <v>46236</v>
      </c>
      <c r="U358">
        <f t="shared" si="30"/>
        <v>80</v>
      </c>
      <c r="V358">
        <f t="shared" si="31"/>
        <v>48</v>
      </c>
      <c r="W358">
        <f t="shared" si="32"/>
        <v>32</v>
      </c>
      <c r="X358" s="5">
        <f t="shared" si="33"/>
        <v>0.4</v>
      </c>
      <c r="Y358">
        <f t="shared" si="34"/>
        <v>2025</v>
      </c>
      <c r="Z358">
        <f t="shared" si="35"/>
        <v>8</v>
      </c>
    </row>
    <row r="359" spans="1:26" x14ac:dyDescent="0.3">
      <c r="A359" s="2">
        <v>1317</v>
      </c>
      <c r="B359" s="3">
        <v>45954</v>
      </c>
      <c r="C359" s="4" t="s">
        <v>98</v>
      </c>
      <c r="D359" s="4" t="s">
        <v>41</v>
      </c>
      <c r="E359" s="4" t="s">
        <v>33</v>
      </c>
      <c r="F359" s="4" t="s">
        <v>23</v>
      </c>
      <c r="G359" t="s">
        <v>82</v>
      </c>
      <c r="H359" s="2">
        <v>4</v>
      </c>
      <c r="I359" s="2">
        <v>22</v>
      </c>
      <c r="J359">
        <v>32</v>
      </c>
      <c r="K359">
        <v>5</v>
      </c>
      <c r="L359">
        <v>12</v>
      </c>
      <c r="M359" t="s">
        <v>43</v>
      </c>
      <c r="N359" t="s">
        <v>44</v>
      </c>
      <c r="O359">
        <v>19</v>
      </c>
      <c r="P359" t="s">
        <v>36</v>
      </c>
      <c r="Q359" t="s">
        <v>28</v>
      </c>
      <c r="R359" t="s">
        <v>38</v>
      </c>
      <c r="S359" t="s">
        <v>391</v>
      </c>
      <c r="T359" s="1">
        <v>46261</v>
      </c>
      <c r="U359">
        <f t="shared" si="30"/>
        <v>128</v>
      </c>
      <c r="V359">
        <f t="shared" si="31"/>
        <v>88</v>
      </c>
      <c r="W359">
        <f t="shared" si="32"/>
        <v>40</v>
      </c>
      <c r="X359" s="5">
        <f t="shared" si="33"/>
        <v>0.3125</v>
      </c>
      <c r="Y359">
        <f t="shared" si="34"/>
        <v>2025</v>
      </c>
      <c r="Z359">
        <f t="shared" si="35"/>
        <v>10</v>
      </c>
    </row>
    <row r="360" spans="1:26" x14ac:dyDescent="0.3">
      <c r="A360" s="2">
        <v>1319</v>
      </c>
      <c r="B360" s="3">
        <v>45899</v>
      </c>
      <c r="C360" s="4" t="s">
        <v>79</v>
      </c>
      <c r="D360" s="4" t="s">
        <v>80</v>
      </c>
      <c r="E360" s="4" t="s">
        <v>81</v>
      </c>
      <c r="F360" s="4" t="s">
        <v>23</v>
      </c>
      <c r="G360" t="s">
        <v>82</v>
      </c>
      <c r="H360" s="2">
        <v>4</v>
      </c>
      <c r="I360" s="2">
        <v>80</v>
      </c>
      <c r="J360">
        <v>110</v>
      </c>
      <c r="K360">
        <v>0</v>
      </c>
      <c r="L360">
        <v>12</v>
      </c>
      <c r="M360" t="s">
        <v>35</v>
      </c>
      <c r="N360" t="s">
        <v>26</v>
      </c>
      <c r="O360">
        <v>19</v>
      </c>
      <c r="P360" t="s">
        <v>27</v>
      </c>
      <c r="Q360" t="s">
        <v>53</v>
      </c>
      <c r="R360" t="s">
        <v>22</v>
      </c>
      <c r="S360" t="s">
        <v>393</v>
      </c>
      <c r="T360" s="1">
        <v>46296</v>
      </c>
      <c r="U360">
        <f t="shared" si="30"/>
        <v>440</v>
      </c>
      <c r="V360">
        <f t="shared" si="31"/>
        <v>320</v>
      </c>
      <c r="W360">
        <f t="shared" si="32"/>
        <v>120</v>
      </c>
      <c r="X360" s="5">
        <f t="shared" si="33"/>
        <v>0.27272727272727271</v>
      </c>
      <c r="Y360">
        <f t="shared" si="34"/>
        <v>2025</v>
      </c>
      <c r="Z360">
        <f t="shared" si="35"/>
        <v>8</v>
      </c>
    </row>
    <row r="361" spans="1:26" x14ac:dyDescent="0.3">
      <c r="A361" s="2">
        <v>1320</v>
      </c>
      <c r="B361" s="3">
        <v>45698</v>
      </c>
      <c r="C361" s="4" t="s">
        <v>56</v>
      </c>
      <c r="D361" s="4" t="s">
        <v>57</v>
      </c>
      <c r="E361" s="4" t="s">
        <v>58</v>
      </c>
      <c r="F361" s="4" t="s">
        <v>23</v>
      </c>
      <c r="G361" t="s">
        <v>24</v>
      </c>
      <c r="H361" s="2">
        <v>4</v>
      </c>
      <c r="I361" s="2">
        <v>75</v>
      </c>
      <c r="J361">
        <v>100</v>
      </c>
      <c r="K361">
        <v>5</v>
      </c>
      <c r="L361">
        <v>12</v>
      </c>
      <c r="M361" t="s">
        <v>35</v>
      </c>
      <c r="N361" t="s">
        <v>26</v>
      </c>
      <c r="O361">
        <v>31</v>
      </c>
      <c r="P361" t="s">
        <v>36</v>
      </c>
      <c r="Q361" t="s">
        <v>53</v>
      </c>
      <c r="R361" t="s">
        <v>38</v>
      </c>
      <c r="S361" t="s">
        <v>394</v>
      </c>
      <c r="T361" s="1">
        <v>46091</v>
      </c>
      <c r="U361">
        <f t="shared" si="30"/>
        <v>400</v>
      </c>
      <c r="V361">
        <f t="shared" si="31"/>
        <v>300</v>
      </c>
      <c r="W361">
        <f t="shared" si="32"/>
        <v>100</v>
      </c>
      <c r="X361" s="5">
        <f t="shared" si="33"/>
        <v>0.25</v>
      </c>
      <c r="Y361">
        <f t="shared" si="34"/>
        <v>2025</v>
      </c>
      <c r="Z361">
        <f t="shared" si="35"/>
        <v>2</v>
      </c>
    </row>
    <row r="362" spans="1:26" x14ac:dyDescent="0.3">
      <c r="A362" s="2">
        <v>1327</v>
      </c>
      <c r="B362" s="3">
        <v>45890</v>
      </c>
      <c r="C362" s="4" t="s">
        <v>84</v>
      </c>
      <c r="D362" s="4" t="s">
        <v>85</v>
      </c>
      <c r="E362" s="4" t="s">
        <v>63</v>
      </c>
      <c r="F362" s="4" t="s">
        <v>23</v>
      </c>
      <c r="G362" t="s">
        <v>82</v>
      </c>
      <c r="H362" s="2">
        <v>4</v>
      </c>
      <c r="I362" s="2">
        <v>45</v>
      </c>
      <c r="J362">
        <v>65</v>
      </c>
      <c r="K362">
        <v>0</v>
      </c>
      <c r="L362">
        <v>12</v>
      </c>
      <c r="M362" t="s">
        <v>43</v>
      </c>
      <c r="N362" t="s">
        <v>26</v>
      </c>
      <c r="O362">
        <v>67</v>
      </c>
      <c r="P362" t="s">
        <v>27</v>
      </c>
      <c r="Q362" t="s">
        <v>66</v>
      </c>
      <c r="R362" t="s">
        <v>22</v>
      </c>
      <c r="S362" t="s">
        <v>400</v>
      </c>
      <c r="T362" s="1">
        <v>46383</v>
      </c>
      <c r="U362">
        <f t="shared" si="30"/>
        <v>260</v>
      </c>
      <c r="V362">
        <f t="shared" si="31"/>
        <v>180</v>
      </c>
      <c r="W362">
        <f t="shared" si="32"/>
        <v>80</v>
      </c>
      <c r="X362" s="5">
        <f t="shared" si="33"/>
        <v>0.30769230769230771</v>
      </c>
      <c r="Y362">
        <f t="shared" si="34"/>
        <v>2025</v>
      </c>
      <c r="Z362">
        <f t="shared" si="35"/>
        <v>8</v>
      </c>
    </row>
    <row r="363" spans="1:26" x14ac:dyDescent="0.3">
      <c r="A363" s="2">
        <v>1341</v>
      </c>
      <c r="B363" s="3">
        <v>45725</v>
      </c>
      <c r="C363" s="4" t="s">
        <v>56</v>
      </c>
      <c r="D363" s="4" t="s">
        <v>57</v>
      </c>
      <c r="E363" s="4" t="s">
        <v>58</v>
      </c>
      <c r="F363" s="4" t="s">
        <v>23</v>
      </c>
      <c r="G363" t="s">
        <v>24</v>
      </c>
      <c r="H363" s="2">
        <v>4</v>
      </c>
      <c r="I363" s="2">
        <v>75</v>
      </c>
      <c r="J363">
        <v>100</v>
      </c>
      <c r="K363">
        <v>0</v>
      </c>
      <c r="L363">
        <v>12</v>
      </c>
      <c r="M363" t="s">
        <v>25</v>
      </c>
      <c r="N363" t="s">
        <v>26</v>
      </c>
      <c r="O363">
        <v>32</v>
      </c>
      <c r="P363" t="s">
        <v>45</v>
      </c>
      <c r="Q363" t="s">
        <v>37</v>
      </c>
      <c r="R363" t="s">
        <v>38</v>
      </c>
      <c r="S363" t="s">
        <v>413</v>
      </c>
      <c r="T363" s="1">
        <v>46278</v>
      </c>
      <c r="U363">
        <f t="shared" si="30"/>
        <v>400</v>
      </c>
      <c r="V363">
        <f t="shared" si="31"/>
        <v>300</v>
      </c>
      <c r="W363">
        <f t="shared" si="32"/>
        <v>100</v>
      </c>
      <c r="X363" s="5">
        <f t="shared" si="33"/>
        <v>0.25</v>
      </c>
      <c r="Y363">
        <f t="shared" si="34"/>
        <v>2025</v>
      </c>
      <c r="Z363">
        <f t="shared" si="35"/>
        <v>3</v>
      </c>
    </row>
    <row r="364" spans="1:26" x14ac:dyDescent="0.3">
      <c r="A364" s="2">
        <v>1344</v>
      </c>
      <c r="B364" s="3">
        <v>45998</v>
      </c>
      <c r="C364" s="4" t="s">
        <v>75</v>
      </c>
      <c r="D364" s="4" t="s">
        <v>41</v>
      </c>
      <c r="E364" s="4" t="s">
        <v>76</v>
      </c>
      <c r="F364" s="4" t="s">
        <v>23</v>
      </c>
      <c r="G364" t="s">
        <v>42</v>
      </c>
      <c r="H364" s="2">
        <v>4</v>
      </c>
      <c r="I364" s="2">
        <v>25</v>
      </c>
      <c r="J364">
        <v>35</v>
      </c>
      <c r="K364">
        <v>0</v>
      </c>
      <c r="L364">
        <v>12</v>
      </c>
      <c r="M364" t="s">
        <v>25</v>
      </c>
      <c r="N364" t="s">
        <v>26</v>
      </c>
      <c r="O364">
        <v>44</v>
      </c>
      <c r="P364" t="s">
        <v>52</v>
      </c>
      <c r="Q364" t="s">
        <v>66</v>
      </c>
      <c r="R364" t="s">
        <v>29</v>
      </c>
      <c r="S364" t="s">
        <v>416</v>
      </c>
      <c r="T364" s="1">
        <v>46779</v>
      </c>
      <c r="U364">
        <f t="shared" si="30"/>
        <v>140</v>
      </c>
      <c r="V364">
        <f t="shared" si="31"/>
        <v>100</v>
      </c>
      <c r="W364">
        <f t="shared" si="32"/>
        <v>40</v>
      </c>
      <c r="X364" s="5">
        <f t="shared" si="33"/>
        <v>0.2857142857142857</v>
      </c>
      <c r="Y364">
        <f t="shared" si="34"/>
        <v>2025</v>
      </c>
      <c r="Z364">
        <f t="shared" si="35"/>
        <v>12</v>
      </c>
    </row>
    <row r="365" spans="1:26" x14ac:dyDescent="0.3">
      <c r="A365" s="2">
        <v>1345</v>
      </c>
      <c r="B365" s="3">
        <v>45936</v>
      </c>
      <c r="C365" s="4" t="s">
        <v>61</v>
      </c>
      <c r="D365" s="4" t="s">
        <v>62</v>
      </c>
      <c r="E365" s="4" t="s">
        <v>63</v>
      </c>
      <c r="F365" s="4" t="s">
        <v>23</v>
      </c>
      <c r="G365" t="s">
        <v>64</v>
      </c>
      <c r="H365" s="2">
        <v>4</v>
      </c>
      <c r="I365" s="2">
        <v>12</v>
      </c>
      <c r="J365">
        <v>20</v>
      </c>
      <c r="K365">
        <v>10</v>
      </c>
      <c r="L365">
        <v>12</v>
      </c>
      <c r="M365" t="s">
        <v>43</v>
      </c>
      <c r="N365" t="s">
        <v>44</v>
      </c>
      <c r="O365">
        <v>26</v>
      </c>
      <c r="P365" t="s">
        <v>36</v>
      </c>
      <c r="Q365" t="s">
        <v>66</v>
      </c>
      <c r="R365" t="s">
        <v>54</v>
      </c>
      <c r="S365" t="s">
        <v>417</v>
      </c>
      <c r="T365" s="1">
        <v>46435</v>
      </c>
      <c r="U365">
        <f t="shared" si="30"/>
        <v>80</v>
      </c>
      <c r="V365">
        <f t="shared" si="31"/>
        <v>48</v>
      </c>
      <c r="W365">
        <f t="shared" si="32"/>
        <v>32</v>
      </c>
      <c r="X365" s="5">
        <f t="shared" si="33"/>
        <v>0.4</v>
      </c>
      <c r="Y365">
        <f t="shared" si="34"/>
        <v>2025</v>
      </c>
      <c r="Z365">
        <f t="shared" si="35"/>
        <v>10</v>
      </c>
    </row>
    <row r="366" spans="1:26" x14ac:dyDescent="0.3">
      <c r="A366" s="2">
        <v>1354</v>
      </c>
      <c r="B366" s="3">
        <v>45721</v>
      </c>
      <c r="C366" s="4" t="s">
        <v>20</v>
      </c>
      <c r="D366" s="4" t="s">
        <v>21</v>
      </c>
      <c r="E366" s="4" t="s">
        <v>22</v>
      </c>
      <c r="F366" s="4" t="s">
        <v>23</v>
      </c>
      <c r="G366" t="s">
        <v>24</v>
      </c>
      <c r="H366" s="2">
        <v>4</v>
      </c>
      <c r="I366" s="2">
        <v>60</v>
      </c>
      <c r="J366">
        <v>85</v>
      </c>
      <c r="K366">
        <v>0</v>
      </c>
      <c r="L366">
        <v>12</v>
      </c>
      <c r="M366" t="s">
        <v>35</v>
      </c>
      <c r="N366" t="s">
        <v>44</v>
      </c>
      <c r="O366">
        <v>26</v>
      </c>
      <c r="P366" t="s">
        <v>27</v>
      </c>
      <c r="Q366" t="s">
        <v>28</v>
      </c>
      <c r="R366" t="s">
        <v>22</v>
      </c>
      <c r="S366" t="s">
        <v>270</v>
      </c>
      <c r="T366" s="1">
        <v>45949</v>
      </c>
      <c r="U366">
        <f t="shared" si="30"/>
        <v>340</v>
      </c>
      <c r="V366">
        <f t="shared" si="31"/>
        <v>240</v>
      </c>
      <c r="W366">
        <f t="shared" si="32"/>
        <v>100</v>
      </c>
      <c r="X366" s="5">
        <f t="shared" si="33"/>
        <v>0.29411764705882354</v>
      </c>
      <c r="Y366">
        <f t="shared" si="34"/>
        <v>2025</v>
      </c>
      <c r="Z366">
        <f t="shared" si="35"/>
        <v>3</v>
      </c>
    </row>
    <row r="367" spans="1:26" x14ac:dyDescent="0.3">
      <c r="A367" s="2">
        <v>1361</v>
      </c>
      <c r="B367" s="3">
        <v>45749</v>
      </c>
      <c r="C367" s="4" t="s">
        <v>31</v>
      </c>
      <c r="D367" s="4" t="s">
        <v>32</v>
      </c>
      <c r="E367" s="4" t="s">
        <v>33</v>
      </c>
      <c r="F367" s="4" t="s">
        <v>23</v>
      </c>
      <c r="G367" t="s">
        <v>34</v>
      </c>
      <c r="H367" s="2">
        <v>4</v>
      </c>
      <c r="I367" s="2">
        <v>140</v>
      </c>
      <c r="J367">
        <v>180</v>
      </c>
      <c r="K367">
        <v>0</v>
      </c>
      <c r="L367">
        <v>12</v>
      </c>
      <c r="M367" t="s">
        <v>25</v>
      </c>
      <c r="N367" t="s">
        <v>26</v>
      </c>
      <c r="O367">
        <v>62</v>
      </c>
      <c r="P367" t="s">
        <v>52</v>
      </c>
      <c r="Q367" t="s">
        <v>37</v>
      </c>
      <c r="R367" t="s">
        <v>22</v>
      </c>
      <c r="S367" t="s">
        <v>431</v>
      </c>
      <c r="T367" s="1">
        <v>46612</v>
      </c>
      <c r="U367">
        <f t="shared" si="30"/>
        <v>720</v>
      </c>
      <c r="V367">
        <f t="shared" si="31"/>
        <v>560</v>
      </c>
      <c r="W367">
        <f t="shared" si="32"/>
        <v>160</v>
      </c>
      <c r="X367" s="5">
        <f t="shared" si="33"/>
        <v>0.22222222222222221</v>
      </c>
      <c r="Y367">
        <f t="shared" si="34"/>
        <v>2025</v>
      </c>
      <c r="Z367">
        <f t="shared" si="35"/>
        <v>4</v>
      </c>
    </row>
    <row r="368" spans="1:26" x14ac:dyDescent="0.3">
      <c r="A368" s="2">
        <v>1363</v>
      </c>
      <c r="B368" s="3">
        <v>45721</v>
      </c>
      <c r="C368" s="4" t="s">
        <v>31</v>
      </c>
      <c r="D368" s="4" t="s">
        <v>32</v>
      </c>
      <c r="E368" s="4" t="s">
        <v>33</v>
      </c>
      <c r="F368" s="4" t="s">
        <v>23</v>
      </c>
      <c r="G368" t="s">
        <v>34</v>
      </c>
      <c r="H368" s="2">
        <v>4</v>
      </c>
      <c r="I368" s="2">
        <v>140</v>
      </c>
      <c r="J368">
        <v>180</v>
      </c>
      <c r="K368">
        <v>0</v>
      </c>
      <c r="L368">
        <v>12</v>
      </c>
      <c r="M368" t="s">
        <v>35</v>
      </c>
      <c r="N368" t="s">
        <v>26</v>
      </c>
      <c r="O368">
        <v>44</v>
      </c>
      <c r="P368" t="s">
        <v>36</v>
      </c>
      <c r="Q368" t="s">
        <v>53</v>
      </c>
      <c r="R368" t="s">
        <v>86</v>
      </c>
      <c r="S368" t="s">
        <v>433</v>
      </c>
      <c r="T368" s="1">
        <v>46612</v>
      </c>
      <c r="U368">
        <f t="shared" si="30"/>
        <v>720</v>
      </c>
      <c r="V368">
        <f t="shared" si="31"/>
        <v>560</v>
      </c>
      <c r="W368">
        <f t="shared" si="32"/>
        <v>160</v>
      </c>
      <c r="X368" s="5">
        <f t="shared" si="33"/>
        <v>0.22222222222222221</v>
      </c>
      <c r="Y368">
        <f t="shared" si="34"/>
        <v>2025</v>
      </c>
      <c r="Z368">
        <f t="shared" si="35"/>
        <v>3</v>
      </c>
    </row>
    <row r="369" spans="1:26" x14ac:dyDescent="0.3">
      <c r="A369" s="2">
        <v>1366</v>
      </c>
      <c r="B369" s="3">
        <v>46008</v>
      </c>
      <c r="C369" s="4" t="s">
        <v>108</v>
      </c>
      <c r="D369" s="4" t="s">
        <v>32</v>
      </c>
      <c r="E369" s="4" t="s">
        <v>109</v>
      </c>
      <c r="F369" s="4" t="s">
        <v>23</v>
      </c>
      <c r="G369" t="s">
        <v>82</v>
      </c>
      <c r="H369" s="2">
        <v>4</v>
      </c>
      <c r="I369" s="2">
        <v>90</v>
      </c>
      <c r="J369">
        <v>120</v>
      </c>
      <c r="K369">
        <v>10</v>
      </c>
      <c r="L369">
        <v>12</v>
      </c>
      <c r="M369" t="s">
        <v>43</v>
      </c>
      <c r="N369" t="s">
        <v>44</v>
      </c>
      <c r="O369">
        <v>71</v>
      </c>
      <c r="P369" t="s">
        <v>52</v>
      </c>
      <c r="Q369" t="s">
        <v>28</v>
      </c>
      <c r="R369" t="s">
        <v>22</v>
      </c>
      <c r="S369" t="s">
        <v>436</v>
      </c>
      <c r="T369" s="1">
        <v>46296</v>
      </c>
      <c r="U369">
        <f t="shared" si="30"/>
        <v>480</v>
      </c>
      <c r="V369">
        <f t="shared" si="31"/>
        <v>360</v>
      </c>
      <c r="W369">
        <f t="shared" si="32"/>
        <v>120</v>
      </c>
      <c r="X369" s="5">
        <f t="shared" si="33"/>
        <v>0.25</v>
      </c>
      <c r="Y369">
        <f t="shared" si="34"/>
        <v>2025</v>
      </c>
      <c r="Z369">
        <f t="shared" si="35"/>
        <v>12</v>
      </c>
    </row>
    <row r="370" spans="1:26" x14ac:dyDescent="0.3">
      <c r="A370" s="2">
        <v>1387</v>
      </c>
      <c r="B370" s="3">
        <v>45886</v>
      </c>
      <c r="C370" s="4" t="s">
        <v>92</v>
      </c>
      <c r="D370" s="4" t="s">
        <v>48</v>
      </c>
      <c r="E370" s="4" t="s">
        <v>54</v>
      </c>
      <c r="F370" s="4" t="s">
        <v>23</v>
      </c>
      <c r="G370" t="s">
        <v>82</v>
      </c>
      <c r="H370" s="2">
        <v>4</v>
      </c>
      <c r="I370" s="2">
        <v>18</v>
      </c>
      <c r="J370">
        <v>28</v>
      </c>
      <c r="K370">
        <v>10</v>
      </c>
      <c r="L370">
        <v>12</v>
      </c>
      <c r="M370" t="s">
        <v>35</v>
      </c>
      <c r="N370" t="s">
        <v>26</v>
      </c>
      <c r="O370">
        <v>58</v>
      </c>
      <c r="P370" t="s">
        <v>45</v>
      </c>
      <c r="Q370" t="s">
        <v>28</v>
      </c>
      <c r="R370" t="s">
        <v>54</v>
      </c>
      <c r="S370" t="s">
        <v>323</v>
      </c>
      <c r="T370" s="1">
        <v>46278</v>
      </c>
      <c r="U370">
        <f t="shared" si="30"/>
        <v>112</v>
      </c>
      <c r="V370">
        <f t="shared" si="31"/>
        <v>72</v>
      </c>
      <c r="W370">
        <f t="shared" si="32"/>
        <v>40</v>
      </c>
      <c r="X370" s="5">
        <f t="shared" si="33"/>
        <v>0.35714285714285715</v>
      </c>
      <c r="Y370">
        <f t="shared" si="34"/>
        <v>2025</v>
      </c>
      <c r="Z370">
        <f t="shared" si="35"/>
        <v>8</v>
      </c>
    </row>
    <row r="371" spans="1:26" x14ac:dyDescent="0.3">
      <c r="A371" s="2">
        <v>1396</v>
      </c>
      <c r="B371" s="3">
        <v>45757</v>
      </c>
      <c r="C371" s="4" t="s">
        <v>56</v>
      </c>
      <c r="D371" s="4" t="s">
        <v>57</v>
      </c>
      <c r="E371" s="4" t="s">
        <v>58</v>
      </c>
      <c r="F371" s="4" t="s">
        <v>23</v>
      </c>
      <c r="G371" t="s">
        <v>24</v>
      </c>
      <c r="H371" s="2">
        <v>4</v>
      </c>
      <c r="I371" s="2">
        <v>75</v>
      </c>
      <c r="J371">
        <v>100</v>
      </c>
      <c r="K371">
        <v>10</v>
      </c>
      <c r="L371">
        <v>12</v>
      </c>
      <c r="M371" t="s">
        <v>35</v>
      </c>
      <c r="N371" t="s">
        <v>44</v>
      </c>
      <c r="O371">
        <v>35</v>
      </c>
      <c r="P371" t="s">
        <v>45</v>
      </c>
      <c r="Q371" t="s">
        <v>28</v>
      </c>
      <c r="R371" t="s">
        <v>38</v>
      </c>
      <c r="S371" t="s">
        <v>465</v>
      </c>
      <c r="T371" s="1">
        <v>46090</v>
      </c>
      <c r="U371">
        <f t="shared" si="30"/>
        <v>400</v>
      </c>
      <c r="V371">
        <f t="shared" si="31"/>
        <v>300</v>
      </c>
      <c r="W371">
        <f t="shared" si="32"/>
        <v>100</v>
      </c>
      <c r="X371" s="5">
        <f t="shared" si="33"/>
        <v>0.25</v>
      </c>
      <c r="Y371">
        <f t="shared" si="34"/>
        <v>2025</v>
      </c>
      <c r="Z371">
        <f t="shared" si="35"/>
        <v>4</v>
      </c>
    </row>
    <row r="372" spans="1:26" x14ac:dyDescent="0.3">
      <c r="A372" s="2">
        <v>1397</v>
      </c>
      <c r="B372" s="3">
        <v>45683</v>
      </c>
      <c r="C372" s="4" t="s">
        <v>61</v>
      </c>
      <c r="D372" s="4" t="s">
        <v>62</v>
      </c>
      <c r="E372" s="4" t="s">
        <v>63</v>
      </c>
      <c r="F372" s="4" t="s">
        <v>23</v>
      </c>
      <c r="G372" t="s">
        <v>64</v>
      </c>
      <c r="H372" s="2">
        <v>4</v>
      </c>
      <c r="I372" s="2">
        <v>12</v>
      </c>
      <c r="J372">
        <v>20</v>
      </c>
      <c r="K372">
        <v>10</v>
      </c>
      <c r="L372">
        <v>12</v>
      </c>
      <c r="M372" t="s">
        <v>43</v>
      </c>
      <c r="N372" t="s">
        <v>44</v>
      </c>
      <c r="O372">
        <v>23</v>
      </c>
      <c r="P372" t="s">
        <v>27</v>
      </c>
      <c r="Q372" t="s">
        <v>66</v>
      </c>
      <c r="R372" t="s">
        <v>54</v>
      </c>
      <c r="S372" t="s">
        <v>466</v>
      </c>
      <c r="T372" s="1">
        <v>46349</v>
      </c>
      <c r="U372">
        <f t="shared" si="30"/>
        <v>80</v>
      </c>
      <c r="V372">
        <f t="shared" si="31"/>
        <v>48</v>
      </c>
      <c r="W372">
        <f t="shared" si="32"/>
        <v>32</v>
      </c>
      <c r="X372" s="5">
        <f t="shared" si="33"/>
        <v>0.4</v>
      </c>
      <c r="Y372">
        <f t="shared" si="34"/>
        <v>2025</v>
      </c>
      <c r="Z372">
        <f t="shared" si="35"/>
        <v>1</v>
      </c>
    </row>
    <row r="373" spans="1:26" x14ac:dyDescent="0.3">
      <c r="A373" s="2">
        <v>1400</v>
      </c>
      <c r="B373" s="3">
        <v>45771</v>
      </c>
      <c r="C373" s="4" t="s">
        <v>61</v>
      </c>
      <c r="D373" s="4" t="s">
        <v>62</v>
      </c>
      <c r="E373" s="4" t="s">
        <v>63</v>
      </c>
      <c r="F373" s="4" t="s">
        <v>23</v>
      </c>
      <c r="G373" t="s">
        <v>64</v>
      </c>
      <c r="H373" s="2">
        <v>4</v>
      </c>
      <c r="I373" s="2">
        <v>12</v>
      </c>
      <c r="J373">
        <v>20</v>
      </c>
      <c r="K373">
        <v>5</v>
      </c>
      <c r="L373">
        <v>12</v>
      </c>
      <c r="M373" t="s">
        <v>35</v>
      </c>
      <c r="N373" t="s">
        <v>26</v>
      </c>
      <c r="O373">
        <v>53</v>
      </c>
      <c r="P373" t="s">
        <v>36</v>
      </c>
      <c r="Q373" t="s">
        <v>66</v>
      </c>
      <c r="R373" t="s">
        <v>22</v>
      </c>
      <c r="S373" t="s">
        <v>469</v>
      </c>
      <c r="T373" s="1">
        <v>46487</v>
      </c>
      <c r="U373">
        <f t="shared" si="30"/>
        <v>80</v>
      </c>
      <c r="V373">
        <f t="shared" si="31"/>
        <v>48</v>
      </c>
      <c r="W373">
        <f t="shared" si="32"/>
        <v>32</v>
      </c>
      <c r="X373" s="5">
        <f t="shared" si="33"/>
        <v>0.4</v>
      </c>
      <c r="Y373">
        <f t="shared" si="34"/>
        <v>2025</v>
      </c>
      <c r="Z373">
        <f t="shared" si="35"/>
        <v>4</v>
      </c>
    </row>
    <row r="374" spans="1:26" x14ac:dyDescent="0.3">
      <c r="A374" s="2">
        <v>1401</v>
      </c>
      <c r="B374" s="3">
        <v>45894</v>
      </c>
      <c r="C374" s="4" t="s">
        <v>105</v>
      </c>
      <c r="D374" s="4" t="s">
        <v>106</v>
      </c>
      <c r="E374" s="4" t="s">
        <v>22</v>
      </c>
      <c r="F374" s="4" t="s">
        <v>23</v>
      </c>
      <c r="G374" t="s">
        <v>51</v>
      </c>
      <c r="H374" s="2">
        <v>4</v>
      </c>
      <c r="I374" s="2">
        <v>95</v>
      </c>
      <c r="J374">
        <v>125</v>
      </c>
      <c r="K374">
        <v>5</v>
      </c>
      <c r="L374">
        <v>12</v>
      </c>
      <c r="M374" t="s">
        <v>35</v>
      </c>
      <c r="N374" t="s">
        <v>44</v>
      </c>
      <c r="O374">
        <v>51</v>
      </c>
      <c r="P374" t="s">
        <v>27</v>
      </c>
      <c r="Q374" t="s">
        <v>59</v>
      </c>
      <c r="R374" t="s">
        <v>86</v>
      </c>
      <c r="S374" t="s">
        <v>470</v>
      </c>
      <c r="T374" s="1">
        <v>46143</v>
      </c>
      <c r="U374">
        <f t="shared" si="30"/>
        <v>500</v>
      </c>
      <c r="V374">
        <f t="shared" si="31"/>
        <v>380</v>
      </c>
      <c r="W374">
        <f t="shared" si="32"/>
        <v>120</v>
      </c>
      <c r="X374" s="5">
        <f t="shared" si="33"/>
        <v>0.24</v>
      </c>
      <c r="Y374">
        <f t="shared" si="34"/>
        <v>2025</v>
      </c>
      <c r="Z374">
        <f t="shared" si="35"/>
        <v>8</v>
      </c>
    </row>
    <row r="375" spans="1:26" x14ac:dyDescent="0.3">
      <c r="A375" s="2">
        <v>1402</v>
      </c>
      <c r="B375" s="3">
        <v>45846</v>
      </c>
      <c r="C375" s="4" t="s">
        <v>47</v>
      </c>
      <c r="D375" s="4" t="s">
        <v>48</v>
      </c>
      <c r="E375" s="4" t="s">
        <v>49</v>
      </c>
      <c r="F375" s="4" t="s">
        <v>50</v>
      </c>
      <c r="G375" t="s">
        <v>51</v>
      </c>
      <c r="H375" s="2">
        <v>4</v>
      </c>
      <c r="I375" s="2">
        <v>35</v>
      </c>
      <c r="J375">
        <v>50</v>
      </c>
      <c r="K375">
        <v>0</v>
      </c>
      <c r="L375">
        <v>12</v>
      </c>
      <c r="M375" t="s">
        <v>43</v>
      </c>
      <c r="N375" t="s">
        <v>44</v>
      </c>
      <c r="O375">
        <v>38</v>
      </c>
      <c r="P375" t="s">
        <v>45</v>
      </c>
      <c r="Q375" t="s">
        <v>66</v>
      </c>
      <c r="R375" t="s">
        <v>54</v>
      </c>
      <c r="S375" t="s">
        <v>471</v>
      </c>
      <c r="T375" s="1">
        <v>46476</v>
      </c>
      <c r="U375">
        <f t="shared" si="30"/>
        <v>200</v>
      </c>
      <c r="V375">
        <f t="shared" si="31"/>
        <v>140</v>
      </c>
      <c r="W375">
        <f t="shared" si="32"/>
        <v>60</v>
      </c>
      <c r="X375" s="5">
        <f t="shared" si="33"/>
        <v>0.3</v>
      </c>
      <c r="Y375">
        <f t="shared" si="34"/>
        <v>2025</v>
      </c>
      <c r="Z375">
        <f t="shared" si="35"/>
        <v>7</v>
      </c>
    </row>
    <row r="376" spans="1:26" x14ac:dyDescent="0.3">
      <c r="A376" s="2">
        <v>1408</v>
      </c>
      <c r="B376" s="3">
        <v>45928</v>
      </c>
      <c r="C376" s="4" t="s">
        <v>20</v>
      </c>
      <c r="D376" s="4" t="s">
        <v>21</v>
      </c>
      <c r="E376" s="4" t="s">
        <v>22</v>
      </c>
      <c r="F376" s="4" t="s">
        <v>23</v>
      </c>
      <c r="G376" t="s">
        <v>24</v>
      </c>
      <c r="H376" s="2">
        <v>4</v>
      </c>
      <c r="I376" s="2">
        <v>60</v>
      </c>
      <c r="J376">
        <v>85</v>
      </c>
      <c r="K376">
        <v>0</v>
      </c>
      <c r="L376">
        <v>12</v>
      </c>
      <c r="M376" t="s">
        <v>25</v>
      </c>
      <c r="N376" t="s">
        <v>44</v>
      </c>
      <c r="O376">
        <v>24</v>
      </c>
      <c r="P376" t="s">
        <v>45</v>
      </c>
      <c r="Q376" t="s">
        <v>66</v>
      </c>
      <c r="R376" t="s">
        <v>54</v>
      </c>
      <c r="S376" t="s">
        <v>477</v>
      </c>
      <c r="T376" s="1">
        <v>46567</v>
      </c>
      <c r="U376">
        <f t="shared" si="30"/>
        <v>340</v>
      </c>
      <c r="V376">
        <f t="shared" si="31"/>
        <v>240</v>
      </c>
      <c r="W376">
        <f t="shared" si="32"/>
        <v>100</v>
      </c>
      <c r="X376" s="5">
        <f t="shared" si="33"/>
        <v>0.29411764705882354</v>
      </c>
      <c r="Y376">
        <f t="shared" si="34"/>
        <v>2025</v>
      </c>
      <c r="Z376">
        <f t="shared" si="35"/>
        <v>9</v>
      </c>
    </row>
    <row r="377" spans="1:26" x14ac:dyDescent="0.3">
      <c r="A377" s="2">
        <v>1418</v>
      </c>
      <c r="B377" s="3">
        <v>45832</v>
      </c>
      <c r="C377" s="4" t="s">
        <v>69</v>
      </c>
      <c r="D377" s="4" t="s">
        <v>48</v>
      </c>
      <c r="E377" s="4" t="s">
        <v>70</v>
      </c>
      <c r="F377" s="4" t="s">
        <v>50</v>
      </c>
      <c r="G377" t="s">
        <v>71</v>
      </c>
      <c r="H377" s="2">
        <v>4</v>
      </c>
      <c r="I377" s="2">
        <v>25</v>
      </c>
      <c r="J377">
        <v>38</v>
      </c>
      <c r="K377">
        <v>5</v>
      </c>
      <c r="L377">
        <v>12</v>
      </c>
      <c r="M377" t="s">
        <v>35</v>
      </c>
      <c r="N377" t="s">
        <v>26</v>
      </c>
      <c r="O377">
        <v>22</v>
      </c>
      <c r="P377" t="s">
        <v>27</v>
      </c>
      <c r="Q377" t="s">
        <v>37</v>
      </c>
      <c r="R377" t="s">
        <v>22</v>
      </c>
      <c r="S377" t="s">
        <v>486</v>
      </c>
      <c r="T377" s="1">
        <v>46341</v>
      </c>
      <c r="U377">
        <f t="shared" si="30"/>
        <v>152</v>
      </c>
      <c r="V377">
        <f t="shared" si="31"/>
        <v>100</v>
      </c>
      <c r="W377">
        <f t="shared" si="32"/>
        <v>52</v>
      </c>
      <c r="X377" s="5">
        <f t="shared" si="33"/>
        <v>0.34210526315789475</v>
      </c>
      <c r="Y377">
        <f t="shared" si="34"/>
        <v>2025</v>
      </c>
      <c r="Z377">
        <f t="shared" si="35"/>
        <v>6</v>
      </c>
    </row>
    <row r="378" spans="1:26" x14ac:dyDescent="0.3">
      <c r="A378" s="2">
        <v>1421</v>
      </c>
      <c r="B378" s="3">
        <v>46018</v>
      </c>
      <c r="C378" s="4" t="s">
        <v>61</v>
      </c>
      <c r="D378" s="4" t="s">
        <v>62</v>
      </c>
      <c r="E378" s="4" t="s">
        <v>63</v>
      </c>
      <c r="F378" s="4" t="s">
        <v>23</v>
      </c>
      <c r="G378" t="s">
        <v>64</v>
      </c>
      <c r="H378" s="2">
        <v>4</v>
      </c>
      <c r="I378" s="2">
        <v>12</v>
      </c>
      <c r="J378">
        <v>20</v>
      </c>
      <c r="K378">
        <v>5</v>
      </c>
      <c r="L378">
        <v>12</v>
      </c>
      <c r="M378" t="s">
        <v>35</v>
      </c>
      <c r="N378" t="s">
        <v>44</v>
      </c>
      <c r="O378">
        <v>43</v>
      </c>
      <c r="P378" t="s">
        <v>45</v>
      </c>
      <c r="Q378" t="s">
        <v>53</v>
      </c>
      <c r="R378" t="s">
        <v>29</v>
      </c>
      <c r="S378" t="s">
        <v>489</v>
      </c>
      <c r="T378" s="1">
        <v>46326</v>
      </c>
      <c r="U378">
        <f t="shared" si="30"/>
        <v>80</v>
      </c>
      <c r="V378">
        <f t="shared" si="31"/>
        <v>48</v>
      </c>
      <c r="W378">
        <f t="shared" si="32"/>
        <v>32</v>
      </c>
      <c r="X378" s="5">
        <f t="shared" si="33"/>
        <v>0.4</v>
      </c>
      <c r="Y378">
        <f t="shared" si="34"/>
        <v>2025</v>
      </c>
      <c r="Z378">
        <f t="shared" si="35"/>
        <v>12</v>
      </c>
    </row>
    <row r="379" spans="1:26" x14ac:dyDescent="0.3">
      <c r="A379" s="2">
        <v>1422</v>
      </c>
      <c r="B379" s="3">
        <v>46008</v>
      </c>
      <c r="C379" s="4" t="s">
        <v>31</v>
      </c>
      <c r="D379" s="4" t="s">
        <v>32</v>
      </c>
      <c r="E379" s="4" t="s">
        <v>33</v>
      </c>
      <c r="F379" s="4" t="s">
        <v>23</v>
      </c>
      <c r="G379" t="s">
        <v>34</v>
      </c>
      <c r="H379" s="2">
        <v>4</v>
      </c>
      <c r="I379" s="2">
        <v>140</v>
      </c>
      <c r="J379">
        <v>180</v>
      </c>
      <c r="K379">
        <v>0</v>
      </c>
      <c r="L379">
        <v>12</v>
      </c>
      <c r="M379" t="s">
        <v>25</v>
      </c>
      <c r="N379" t="s">
        <v>44</v>
      </c>
      <c r="O379">
        <v>37</v>
      </c>
      <c r="P379" t="s">
        <v>27</v>
      </c>
      <c r="Q379" t="s">
        <v>53</v>
      </c>
      <c r="R379" t="s">
        <v>22</v>
      </c>
      <c r="S379" t="s">
        <v>490</v>
      </c>
      <c r="T379" s="1">
        <v>46397</v>
      </c>
      <c r="U379">
        <f t="shared" si="30"/>
        <v>720</v>
      </c>
      <c r="V379">
        <f t="shared" si="31"/>
        <v>560</v>
      </c>
      <c r="W379">
        <f t="shared" si="32"/>
        <v>160</v>
      </c>
      <c r="X379" s="5">
        <f t="shared" si="33"/>
        <v>0.22222222222222221</v>
      </c>
      <c r="Y379">
        <f t="shared" si="34"/>
        <v>2025</v>
      </c>
      <c r="Z379">
        <f t="shared" si="35"/>
        <v>12</v>
      </c>
    </row>
    <row r="380" spans="1:26" x14ac:dyDescent="0.3">
      <c r="A380" s="2">
        <v>1430</v>
      </c>
      <c r="B380" s="3">
        <v>45684</v>
      </c>
      <c r="C380" s="4" t="s">
        <v>20</v>
      </c>
      <c r="D380" s="4" t="s">
        <v>21</v>
      </c>
      <c r="E380" s="4" t="s">
        <v>22</v>
      </c>
      <c r="F380" s="4" t="s">
        <v>23</v>
      </c>
      <c r="G380" t="s">
        <v>24</v>
      </c>
      <c r="H380" s="2">
        <v>4</v>
      </c>
      <c r="I380" s="2">
        <v>60</v>
      </c>
      <c r="J380">
        <v>85</v>
      </c>
      <c r="K380">
        <v>5</v>
      </c>
      <c r="L380">
        <v>12</v>
      </c>
      <c r="M380" t="s">
        <v>25</v>
      </c>
      <c r="N380" t="s">
        <v>44</v>
      </c>
      <c r="O380">
        <v>68</v>
      </c>
      <c r="P380" t="s">
        <v>52</v>
      </c>
      <c r="Q380" t="s">
        <v>59</v>
      </c>
      <c r="R380" t="s">
        <v>38</v>
      </c>
      <c r="S380" t="s">
        <v>498</v>
      </c>
      <c r="T380" s="1">
        <v>45967</v>
      </c>
      <c r="U380">
        <f t="shared" si="30"/>
        <v>340</v>
      </c>
      <c r="V380">
        <f t="shared" si="31"/>
        <v>240</v>
      </c>
      <c r="W380">
        <f t="shared" si="32"/>
        <v>100</v>
      </c>
      <c r="X380" s="5">
        <f t="shared" si="33"/>
        <v>0.29411764705882354</v>
      </c>
      <c r="Y380">
        <f t="shared" si="34"/>
        <v>2025</v>
      </c>
      <c r="Z380">
        <f t="shared" si="35"/>
        <v>1</v>
      </c>
    </row>
    <row r="381" spans="1:26" x14ac:dyDescent="0.3">
      <c r="A381" s="2">
        <v>1443</v>
      </c>
      <c r="B381" s="3">
        <v>45784</v>
      </c>
      <c r="C381" s="4" t="s">
        <v>61</v>
      </c>
      <c r="D381" s="4" t="s">
        <v>62</v>
      </c>
      <c r="E381" s="4" t="s">
        <v>63</v>
      </c>
      <c r="F381" s="4" t="s">
        <v>23</v>
      </c>
      <c r="G381" t="s">
        <v>64</v>
      </c>
      <c r="H381" s="2">
        <v>4</v>
      </c>
      <c r="I381" s="2">
        <v>12</v>
      </c>
      <c r="J381">
        <v>20</v>
      </c>
      <c r="K381">
        <v>5</v>
      </c>
      <c r="L381">
        <v>12</v>
      </c>
      <c r="M381" t="s">
        <v>25</v>
      </c>
      <c r="N381" t="s">
        <v>44</v>
      </c>
      <c r="O381">
        <v>60</v>
      </c>
      <c r="P381" t="s">
        <v>45</v>
      </c>
      <c r="Q381" t="s">
        <v>28</v>
      </c>
      <c r="R381" t="s">
        <v>29</v>
      </c>
      <c r="S381" t="s">
        <v>511</v>
      </c>
      <c r="T381" s="1">
        <v>46076</v>
      </c>
      <c r="U381">
        <f t="shared" si="30"/>
        <v>80</v>
      </c>
      <c r="V381">
        <f t="shared" si="31"/>
        <v>48</v>
      </c>
      <c r="W381">
        <f t="shared" si="32"/>
        <v>32</v>
      </c>
      <c r="X381" s="5">
        <f t="shared" si="33"/>
        <v>0.4</v>
      </c>
      <c r="Y381">
        <f t="shared" si="34"/>
        <v>2025</v>
      </c>
      <c r="Z381">
        <f t="shared" si="35"/>
        <v>5</v>
      </c>
    </row>
    <row r="382" spans="1:26" x14ac:dyDescent="0.3">
      <c r="A382" s="2">
        <v>1448</v>
      </c>
      <c r="B382" s="3">
        <v>45955</v>
      </c>
      <c r="C382" s="4" t="s">
        <v>69</v>
      </c>
      <c r="D382" s="4" t="s">
        <v>48</v>
      </c>
      <c r="E382" s="4" t="s">
        <v>70</v>
      </c>
      <c r="F382" s="4" t="s">
        <v>50</v>
      </c>
      <c r="G382" t="s">
        <v>71</v>
      </c>
      <c r="H382" s="2">
        <v>4</v>
      </c>
      <c r="I382" s="2">
        <v>25</v>
      </c>
      <c r="J382">
        <v>38</v>
      </c>
      <c r="K382">
        <v>5</v>
      </c>
      <c r="L382">
        <v>12</v>
      </c>
      <c r="M382" t="s">
        <v>35</v>
      </c>
      <c r="N382" t="s">
        <v>26</v>
      </c>
      <c r="O382">
        <v>25</v>
      </c>
      <c r="P382" t="s">
        <v>27</v>
      </c>
      <c r="Q382" t="s">
        <v>66</v>
      </c>
      <c r="R382" t="s">
        <v>22</v>
      </c>
      <c r="S382" t="s">
        <v>516</v>
      </c>
      <c r="T382" s="1">
        <v>46173</v>
      </c>
      <c r="U382">
        <f t="shared" si="30"/>
        <v>152</v>
      </c>
      <c r="V382">
        <f t="shared" si="31"/>
        <v>100</v>
      </c>
      <c r="W382">
        <f t="shared" si="32"/>
        <v>52</v>
      </c>
      <c r="X382" s="5">
        <f t="shared" si="33"/>
        <v>0.34210526315789475</v>
      </c>
      <c r="Y382">
        <f t="shared" si="34"/>
        <v>2025</v>
      </c>
      <c r="Z382">
        <f t="shared" si="35"/>
        <v>10</v>
      </c>
    </row>
    <row r="383" spans="1:26" x14ac:dyDescent="0.3">
      <c r="A383" s="2">
        <v>1451</v>
      </c>
      <c r="B383" s="3">
        <v>45968</v>
      </c>
      <c r="C383" s="4" t="s">
        <v>47</v>
      </c>
      <c r="D383" s="4" t="s">
        <v>48</v>
      </c>
      <c r="E383" s="4" t="s">
        <v>49</v>
      </c>
      <c r="F383" s="4" t="s">
        <v>50</v>
      </c>
      <c r="G383" t="s">
        <v>51</v>
      </c>
      <c r="H383" s="2">
        <v>4</v>
      </c>
      <c r="I383" s="2">
        <v>35</v>
      </c>
      <c r="J383">
        <v>50</v>
      </c>
      <c r="K383">
        <v>5</v>
      </c>
      <c r="L383">
        <v>12</v>
      </c>
      <c r="M383" t="s">
        <v>35</v>
      </c>
      <c r="N383" t="s">
        <v>44</v>
      </c>
      <c r="O383">
        <v>18</v>
      </c>
      <c r="P383" t="s">
        <v>45</v>
      </c>
      <c r="Q383" t="s">
        <v>53</v>
      </c>
      <c r="R383" t="s">
        <v>38</v>
      </c>
      <c r="S383" t="s">
        <v>519</v>
      </c>
      <c r="T383" s="1">
        <v>46837</v>
      </c>
      <c r="U383">
        <f t="shared" si="30"/>
        <v>200</v>
      </c>
      <c r="V383">
        <f t="shared" si="31"/>
        <v>140</v>
      </c>
      <c r="W383">
        <f t="shared" si="32"/>
        <v>60</v>
      </c>
      <c r="X383" s="5">
        <f t="shared" si="33"/>
        <v>0.3</v>
      </c>
      <c r="Y383">
        <f t="shared" si="34"/>
        <v>2025</v>
      </c>
      <c r="Z383">
        <f t="shared" si="35"/>
        <v>11</v>
      </c>
    </row>
    <row r="384" spans="1:26" x14ac:dyDescent="0.3">
      <c r="A384" s="2">
        <v>1452</v>
      </c>
      <c r="B384" s="3">
        <v>45712</v>
      </c>
      <c r="C384" s="4" t="s">
        <v>69</v>
      </c>
      <c r="D384" s="4" t="s">
        <v>48</v>
      </c>
      <c r="E384" s="4" t="s">
        <v>70</v>
      </c>
      <c r="F384" s="4" t="s">
        <v>50</v>
      </c>
      <c r="G384" t="s">
        <v>71</v>
      </c>
      <c r="H384" s="2">
        <v>4</v>
      </c>
      <c r="I384" s="2">
        <v>25</v>
      </c>
      <c r="J384">
        <v>38</v>
      </c>
      <c r="K384">
        <v>5</v>
      </c>
      <c r="L384">
        <v>12</v>
      </c>
      <c r="M384" t="s">
        <v>43</v>
      </c>
      <c r="N384" t="s">
        <v>26</v>
      </c>
      <c r="O384">
        <v>57</v>
      </c>
      <c r="P384" t="s">
        <v>45</v>
      </c>
      <c r="Q384" t="s">
        <v>28</v>
      </c>
      <c r="R384" t="s">
        <v>29</v>
      </c>
      <c r="S384" t="s">
        <v>520</v>
      </c>
      <c r="T384" s="1">
        <v>46060</v>
      </c>
      <c r="U384">
        <f t="shared" si="30"/>
        <v>152</v>
      </c>
      <c r="V384">
        <f t="shared" si="31"/>
        <v>100</v>
      </c>
      <c r="W384">
        <f t="shared" si="32"/>
        <v>52</v>
      </c>
      <c r="X384" s="5">
        <f t="shared" si="33"/>
        <v>0.34210526315789475</v>
      </c>
      <c r="Y384">
        <f t="shared" si="34"/>
        <v>2025</v>
      </c>
      <c r="Z384">
        <f t="shared" si="35"/>
        <v>2</v>
      </c>
    </row>
    <row r="385" spans="1:26" x14ac:dyDescent="0.3">
      <c r="A385" s="2">
        <v>1456</v>
      </c>
      <c r="B385" s="3">
        <v>45837</v>
      </c>
      <c r="C385" s="4" t="s">
        <v>134</v>
      </c>
      <c r="D385" s="4" t="s">
        <v>21</v>
      </c>
      <c r="E385" s="4" t="s">
        <v>29</v>
      </c>
      <c r="F385" s="4" t="s">
        <v>50</v>
      </c>
      <c r="G385" t="s">
        <v>24</v>
      </c>
      <c r="H385" s="2">
        <v>4</v>
      </c>
      <c r="I385" s="2">
        <v>70</v>
      </c>
      <c r="J385">
        <v>95</v>
      </c>
      <c r="K385">
        <v>10</v>
      </c>
      <c r="L385">
        <v>12</v>
      </c>
      <c r="M385" t="s">
        <v>35</v>
      </c>
      <c r="N385" t="s">
        <v>44</v>
      </c>
      <c r="O385">
        <v>75</v>
      </c>
      <c r="P385" t="s">
        <v>45</v>
      </c>
      <c r="Q385" t="s">
        <v>37</v>
      </c>
      <c r="R385" t="s">
        <v>22</v>
      </c>
      <c r="S385" t="s">
        <v>524</v>
      </c>
      <c r="T385" s="1">
        <v>46632</v>
      </c>
      <c r="U385">
        <f t="shared" si="30"/>
        <v>380</v>
      </c>
      <c r="V385">
        <f t="shared" si="31"/>
        <v>280</v>
      </c>
      <c r="W385">
        <f t="shared" si="32"/>
        <v>100</v>
      </c>
      <c r="X385" s="5">
        <f t="shared" si="33"/>
        <v>0.26315789473684209</v>
      </c>
      <c r="Y385">
        <f t="shared" si="34"/>
        <v>2025</v>
      </c>
      <c r="Z385">
        <f t="shared" si="35"/>
        <v>6</v>
      </c>
    </row>
    <row r="386" spans="1:26" x14ac:dyDescent="0.3">
      <c r="A386" s="2">
        <v>1457</v>
      </c>
      <c r="B386" s="3">
        <v>45851</v>
      </c>
      <c r="C386" s="4" t="s">
        <v>105</v>
      </c>
      <c r="D386" s="4" t="s">
        <v>106</v>
      </c>
      <c r="E386" s="4" t="s">
        <v>22</v>
      </c>
      <c r="F386" s="4" t="s">
        <v>23</v>
      </c>
      <c r="G386" t="s">
        <v>51</v>
      </c>
      <c r="H386" s="2">
        <v>4</v>
      </c>
      <c r="I386" s="2">
        <v>95</v>
      </c>
      <c r="J386">
        <v>125</v>
      </c>
      <c r="K386">
        <v>5</v>
      </c>
      <c r="L386">
        <v>12</v>
      </c>
      <c r="M386" t="s">
        <v>25</v>
      </c>
      <c r="N386" t="s">
        <v>44</v>
      </c>
      <c r="O386">
        <v>43</v>
      </c>
      <c r="P386" t="s">
        <v>27</v>
      </c>
      <c r="Q386" t="s">
        <v>66</v>
      </c>
      <c r="R386" t="s">
        <v>29</v>
      </c>
      <c r="S386" t="s">
        <v>525</v>
      </c>
      <c r="T386" s="1">
        <v>46324</v>
      </c>
      <c r="U386">
        <f t="shared" si="30"/>
        <v>500</v>
      </c>
      <c r="V386">
        <f t="shared" si="31"/>
        <v>380</v>
      </c>
      <c r="W386">
        <f t="shared" si="32"/>
        <v>120</v>
      </c>
      <c r="X386" s="5">
        <f t="shared" si="33"/>
        <v>0.24</v>
      </c>
      <c r="Y386">
        <f t="shared" si="34"/>
        <v>2025</v>
      </c>
      <c r="Z386">
        <f t="shared" si="35"/>
        <v>7</v>
      </c>
    </row>
    <row r="387" spans="1:26" x14ac:dyDescent="0.3">
      <c r="A387" s="2">
        <v>1461</v>
      </c>
      <c r="B387" s="3">
        <v>45787</v>
      </c>
      <c r="C387" s="4" t="s">
        <v>69</v>
      </c>
      <c r="D387" s="4" t="s">
        <v>48</v>
      </c>
      <c r="E387" s="4" t="s">
        <v>70</v>
      </c>
      <c r="F387" s="4" t="s">
        <v>50</v>
      </c>
      <c r="G387" t="s">
        <v>71</v>
      </c>
      <c r="H387" s="2">
        <v>4</v>
      </c>
      <c r="I387" s="2">
        <v>25</v>
      </c>
      <c r="J387">
        <v>38</v>
      </c>
      <c r="K387">
        <v>5</v>
      </c>
      <c r="L387">
        <v>12</v>
      </c>
      <c r="M387" t="s">
        <v>25</v>
      </c>
      <c r="N387" t="s">
        <v>26</v>
      </c>
      <c r="O387">
        <v>46</v>
      </c>
      <c r="P387" t="s">
        <v>36</v>
      </c>
      <c r="Q387" t="s">
        <v>53</v>
      </c>
      <c r="R387" t="s">
        <v>54</v>
      </c>
      <c r="S387" t="s">
        <v>529</v>
      </c>
      <c r="T387" s="1">
        <v>46175</v>
      </c>
      <c r="U387">
        <f t="shared" ref="U387:U450" si="36">(H387*J387)</f>
        <v>152</v>
      </c>
      <c r="V387">
        <f t="shared" ref="V387:V450" si="37">(H387*I387)</f>
        <v>100</v>
      </c>
      <c r="W387">
        <f t="shared" ref="W387:W450" si="38">(U387-V387)</f>
        <v>52</v>
      </c>
      <c r="X387" s="5">
        <f t="shared" ref="X387:X450" si="39">(W387/U387)</f>
        <v>0.34210526315789475</v>
      </c>
      <c r="Y387">
        <f t="shared" ref="Y387:Y450" si="40">YEAR(B387)</f>
        <v>2025</v>
      </c>
      <c r="Z387">
        <f t="shared" ref="Z387:Z450" si="41">MONTH(B387)</f>
        <v>5</v>
      </c>
    </row>
    <row r="388" spans="1:26" x14ac:dyDescent="0.3">
      <c r="A388" s="2">
        <v>1466</v>
      </c>
      <c r="B388" s="3">
        <v>45875</v>
      </c>
      <c r="C388" s="4" t="s">
        <v>69</v>
      </c>
      <c r="D388" s="4" t="s">
        <v>48</v>
      </c>
      <c r="E388" s="4" t="s">
        <v>70</v>
      </c>
      <c r="F388" s="4" t="s">
        <v>50</v>
      </c>
      <c r="G388" t="s">
        <v>71</v>
      </c>
      <c r="H388" s="2">
        <v>4</v>
      </c>
      <c r="I388" s="2">
        <v>25</v>
      </c>
      <c r="J388">
        <v>38</v>
      </c>
      <c r="K388">
        <v>0</v>
      </c>
      <c r="L388">
        <v>12</v>
      </c>
      <c r="M388" t="s">
        <v>43</v>
      </c>
      <c r="N388" t="s">
        <v>26</v>
      </c>
      <c r="O388">
        <v>64</v>
      </c>
      <c r="P388" t="s">
        <v>45</v>
      </c>
      <c r="Q388" t="s">
        <v>53</v>
      </c>
      <c r="R388" t="s">
        <v>86</v>
      </c>
      <c r="S388" t="s">
        <v>534</v>
      </c>
      <c r="T388" s="1">
        <v>46668</v>
      </c>
      <c r="U388">
        <f t="shared" si="36"/>
        <v>152</v>
      </c>
      <c r="V388">
        <f t="shared" si="37"/>
        <v>100</v>
      </c>
      <c r="W388">
        <f t="shared" si="38"/>
        <v>52</v>
      </c>
      <c r="X388" s="5">
        <f t="shared" si="39"/>
        <v>0.34210526315789475</v>
      </c>
      <c r="Y388">
        <f t="shared" si="40"/>
        <v>2025</v>
      </c>
      <c r="Z388">
        <f t="shared" si="41"/>
        <v>8</v>
      </c>
    </row>
    <row r="389" spans="1:26" x14ac:dyDescent="0.3">
      <c r="A389" s="2">
        <v>1472</v>
      </c>
      <c r="B389" s="3">
        <v>45732</v>
      </c>
      <c r="C389" s="4" t="s">
        <v>105</v>
      </c>
      <c r="D389" s="4" t="s">
        <v>106</v>
      </c>
      <c r="E389" s="4" t="s">
        <v>22</v>
      </c>
      <c r="F389" s="4" t="s">
        <v>23</v>
      </c>
      <c r="G389" t="s">
        <v>51</v>
      </c>
      <c r="H389" s="2">
        <v>4</v>
      </c>
      <c r="I389" s="2">
        <v>95</v>
      </c>
      <c r="J389">
        <v>125</v>
      </c>
      <c r="K389">
        <v>0</v>
      </c>
      <c r="L389">
        <v>12</v>
      </c>
      <c r="M389" t="s">
        <v>25</v>
      </c>
      <c r="N389" t="s">
        <v>26</v>
      </c>
      <c r="O389">
        <v>23</v>
      </c>
      <c r="P389" t="s">
        <v>45</v>
      </c>
      <c r="Q389" t="s">
        <v>59</v>
      </c>
      <c r="R389" t="s">
        <v>38</v>
      </c>
      <c r="S389" t="s">
        <v>540</v>
      </c>
      <c r="T389" s="1">
        <v>46598</v>
      </c>
      <c r="U389">
        <f t="shared" si="36"/>
        <v>500</v>
      </c>
      <c r="V389">
        <f t="shared" si="37"/>
        <v>380</v>
      </c>
      <c r="W389">
        <f t="shared" si="38"/>
        <v>120</v>
      </c>
      <c r="X389" s="5">
        <f t="shared" si="39"/>
        <v>0.24</v>
      </c>
      <c r="Y389">
        <f t="shared" si="40"/>
        <v>2025</v>
      </c>
      <c r="Z389">
        <f t="shared" si="41"/>
        <v>3</v>
      </c>
    </row>
    <row r="390" spans="1:26" x14ac:dyDescent="0.3">
      <c r="A390" s="2">
        <v>1474</v>
      </c>
      <c r="B390" s="3">
        <v>45667</v>
      </c>
      <c r="C390" s="4" t="s">
        <v>98</v>
      </c>
      <c r="D390" s="4" t="s">
        <v>41</v>
      </c>
      <c r="E390" s="4" t="s">
        <v>33</v>
      </c>
      <c r="F390" s="4" t="s">
        <v>23</v>
      </c>
      <c r="G390" t="s">
        <v>82</v>
      </c>
      <c r="H390" s="2">
        <v>4</v>
      </c>
      <c r="I390" s="2">
        <v>22</v>
      </c>
      <c r="J390">
        <v>32</v>
      </c>
      <c r="K390">
        <v>5</v>
      </c>
      <c r="L390">
        <v>12</v>
      </c>
      <c r="M390" t="s">
        <v>25</v>
      </c>
      <c r="N390" t="s">
        <v>26</v>
      </c>
      <c r="O390">
        <v>61</v>
      </c>
      <c r="P390" t="s">
        <v>52</v>
      </c>
      <c r="Q390" t="s">
        <v>28</v>
      </c>
      <c r="R390" t="s">
        <v>86</v>
      </c>
      <c r="S390" t="s">
        <v>542</v>
      </c>
      <c r="T390" s="1">
        <v>46239</v>
      </c>
      <c r="U390">
        <f t="shared" si="36"/>
        <v>128</v>
      </c>
      <c r="V390">
        <f t="shared" si="37"/>
        <v>88</v>
      </c>
      <c r="W390">
        <f t="shared" si="38"/>
        <v>40</v>
      </c>
      <c r="X390" s="5">
        <f t="shared" si="39"/>
        <v>0.3125</v>
      </c>
      <c r="Y390">
        <f t="shared" si="40"/>
        <v>2025</v>
      </c>
      <c r="Z390">
        <f t="shared" si="41"/>
        <v>1</v>
      </c>
    </row>
    <row r="391" spans="1:26" x14ac:dyDescent="0.3">
      <c r="A391" s="2">
        <v>1478</v>
      </c>
      <c r="B391" s="3">
        <v>45714</v>
      </c>
      <c r="C391" s="4" t="s">
        <v>47</v>
      </c>
      <c r="D391" s="4" t="s">
        <v>48</v>
      </c>
      <c r="E391" s="4" t="s">
        <v>49</v>
      </c>
      <c r="F391" s="4" t="s">
        <v>50</v>
      </c>
      <c r="G391" t="s">
        <v>51</v>
      </c>
      <c r="H391" s="2">
        <v>4</v>
      </c>
      <c r="I391" s="2">
        <v>35</v>
      </c>
      <c r="J391">
        <v>50</v>
      </c>
      <c r="K391">
        <v>10</v>
      </c>
      <c r="L391">
        <v>12</v>
      </c>
      <c r="M391" t="s">
        <v>35</v>
      </c>
      <c r="N391" t="s">
        <v>44</v>
      </c>
      <c r="O391">
        <v>32</v>
      </c>
      <c r="P391" t="s">
        <v>52</v>
      </c>
      <c r="Q391" t="s">
        <v>53</v>
      </c>
      <c r="R391" t="s">
        <v>22</v>
      </c>
      <c r="S391" t="s">
        <v>546</v>
      </c>
      <c r="T391" s="1">
        <v>45921</v>
      </c>
      <c r="U391">
        <f t="shared" si="36"/>
        <v>200</v>
      </c>
      <c r="V391">
        <f t="shared" si="37"/>
        <v>140</v>
      </c>
      <c r="W391">
        <f t="shared" si="38"/>
        <v>60</v>
      </c>
      <c r="X391" s="5">
        <f t="shared" si="39"/>
        <v>0.3</v>
      </c>
      <c r="Y391">
        <f t="shared" si="40"/>
        <v>2025</v>
      </c>
      <c r="Z391">
        <f t="shared" si="41"/>
        <v>2</v>
      </c>
    </row>
    <row r="392" spans="1:26" x14ac:dyDescent="0.3">
      <c r="A392" s="2">
        <v>1479</v>
      </c>
      <c r="B392" s="3">
        <v>45995</v>
      </c>
      <c r="C392" s="4" t="s">
        <v>69</v>
      </c>
      <c r="D392" s="4" t="s">
        <v>48</v>
      </c>
      <c r="E392" s="4" t="s">
        <v>70</v>
      </c>
      <c r="F392" s="4" t="s">
        <v>50</v>
      </c>
      <c r="G392" t="s">
        <v>71</v>
      </c>
      <c r="H392" s="2">
        <v>4</v>
      </c>
      <c r="I392" s="2">
        <v>25</v>
      </c>
      <c r="J392">
        <v>38</v>
      </c>
      <c r="K392">
        <v>5</v>
      </c>
      <c r="L392">
        <v>12</v>
      </c>
      <c r="M392" t="s">
        <v>35</v>
      </c>
      <c r="N392" t="s">
        <v>26</v>
      </c>
      <c r="O392">
        <v>47</v>
      </c>
      <c r="P392" t="s">
        <v>27</v>
      </c>
      <c r="Q392" t="s">
        <v>37</v>
      </c>
      <c r="R392" t="s">
        <v>38</v>
      </c>
      <c r="S392" t="s">
        <v>518</v>
      </c>
      <c r="T392" s="1">
        <v>46361</v>
      </c>
      <c r="U392">
        <f t="shared" si="36"/>
        <v>152</v>
      </c>
      <c r="V392">
        <f t="shared" si="37"/>
        <v>100</v>
      </c>
      <c r="W392">
        <f t="shared" si="38"/>
        <v>52</v>
      </c>
      <c r="X392" s="5">
        <f t="shared" si="39"/>
        <v>0.34210526315789475</v>
      </c>
      <c r="Y392">
        <f t="shared" si="40"/>
        <v>2025</v>
      </c>
      <c r="Z392">
        <f t="shared" si="41"/>
        <v>12</v>
      </c>
    </row>
    <row r="393" spans="1:26" x14ac:dyDescent="0.3">
      <c r="A393" s="2">
        <v>1008</v>
      </c>
      <c r="B393" s="3">
        <v>45723</v>
      </c>
      <c r="C393" s="4" t="s">
        <v>20</v>
      </c>
      <c r="D393" s="4" t="s">
        <v>21</v>
      </c>
      <c r="E393" s="4" t="s">
        <v>22</v>
      </c>
      <c r="F393" s="4" t="s">
        <v>23</v>
      </c>
      <c r="G393" t="s">
        <v>24</v>
      </c>
      <c r="H393" s="2">
        <v>5</v>
      </c>
      <c r="I393" s="2">
        <v>60</v>
      </c>
      <c r="J393">
        <v>85</v>
      </c>
      <c r="K393">
        <v>0</v>
      </c>
      <c r="L393">
        <v>12</v>
      </c>
      <c r="M393" t="s">
        <v>35</v>
      </c>
      <c r="N393" t="s">
        <v>26</v>
      </c>
      <c r="O393">
        <v>43</v>
      </c>
      <c r="P393" t="s">
        <v>45</v>
      </c>
      <c r="Q393" t="s">
        <v>66</v>
      </c>
      <c r="R393" t="s">
        <v>38</v>
      </c>
      <c r="S393" t="s">
        <v>67</v>
      </c>
      <c r="T393" s="1">
        <v>45981</v>
      </c>
      <c r="U393">
        <f t="shared" si="36"/>
        <v>425</v>
      </c>
      <c r="V393">
        <f t="shared" si="37"/>
        <v>300</v>
      </c>
      <c r="W393">
        <f t="shared" si="38"/>
        <v>125</v>
      </c>
      <c r="X393" s="5">
        <f t="shared" si="39"/>
        <v>0.29411764705882354</v>
      </c>
      <c r="Y393">
        <f t="shared" si="40"/>
        <v>2025</v>
      </c>
      <c r="Z393">
        <f t="shared" si="41"/>
        <v>3</v>
      </c>
    </row>
    <row r="394" spans="1:26" x14ac:dyDescent="0.3">
      <c r="A394" s="2">
        <v>1013</v>
      </c>
      <c r="B394" s="3">
        <v>45740</v>
      </c>
      <c r="C394" s="4" t="s">
        <v>75</v>
      </c>
      <c r="D394" s="4" t="s">
        <v>41</v>
      </c>
      <c r="E394" s="4" t="s">
        <v>76</v>
      </c>
      <c r="F394" s="4" t="s">
        <v>23</v>
      </c>
      <c r="G394" t="s">
        <v>42</v>
      </c>
      <c r="H394" s="2">
        <v>5</v>
      </c>
      <c r="I394" s="2">
        <v>25</v>
      </c>
      <c r="J394">
        <v>35</v>
      </c>
      <c r="K394">
        <v>0</v>
      </c>
      <c r="L394">
        <v>12</v>
      </c>
      <c r="M394" t="s">
        <v>43</v>
      </c>
      <c r="N394" t="s">
        <v>44</v>
      </c>
      <c r="O394">
        <v>29</v>
      </c>
      <c r="P394" t="s">
        <v>36</v>
      </c>
      <c r="Q394" t="s">
        <v>37</v>
      </c>
      <c r="R394" t="s">
        <v>29</v>
      </c>
      <c r="S394" t="s">
        <v>77</v>
      </c>
      <c r="T394" s="1">
        <v>46317</v>
      </c>
      <c r="U394">
        <f t="shared" si="36"/>
        <v>175</v>
      </c>
      <c r="V394">
        <f t="shared" si="37"/>
        <v>125</v>
      </c>
      <c r="W394">
        <f t="shared" si="38"/>
        <v>50</v>
      </c>
      <c r="X394" s="5">
        <f t="shared" si="39"/>
        <v>0.2857142857142857</v>
      </c>
      <c r="Y394">
        <f t="shared" si="40"/>
        <v>2025</v>
      </c>
      <c r="Z394">
        <f t="shared" si="41"/>
        <v>3</v>
      </c>
    </row>
    <row r="395" spans="1:26" x14ac:dyDescent="0.3">
      <c r="A395" s="2">
        <v>1015</v>
      </c>
      <c r="B395" s="3">
        <v>45856</v>
      </c>
      <c r="C395" s="4" t="s">
        <v>79</v>
      </c>
      <c r="D395" s="4" t="s">
        <v>80</v>
      </c>
      <c r="E395" s="4" t="s">
        <v>81</v>
      </c>
      <c r="F395" s="4" t="s">
        <v>23</v>
      </c>
      <c r="G395" t="s">
        <v>82</v>
      </c>
      <c r="H395" s="2">
        <v>5</v>
      </c>
      <c r="I395" s="2">
        <v>80</v>
      </c>
      <c r="J395">
        <v>110</v>
      </c>
      <c r="K395">
        <v>10</v>
      </c>
      <c r="L395">
        <v>12</v>
      </c>
      <c r="M395" t="s">
        <v>35</v>
      </c>
      <c r="N395" t="s">
        <v>26</v>
      </c>
      <c r="O395">
        <v>54</v>
      </c>
      <c r="P395" t="s">
        <v>36</v>
      </c>
      <c r="Q395" t="s">
        <v>59</v>
      </c>
      <c r="R395" t="s">
        <v>22</v>
      </c>
      <c r="S395" t="s">
        <v>83</v>
      </c>
      <c r="T395" s="1">
        <v>46738</v>
      </c>
      <c r="U395">
        <f t="shared" si="36"/>
        <v>550</v>
      </c>
      <c r="V395">
        <f t="shared" si="37"/>
        <v>400</v>
      </c>
      <c r="W395">
        <f t="shared" si="38"/>
        <v>150</v>
      </c>
      <c r="X395" s="5">
        <f t="shared" si="39"/>
        <v>0.27272727272727271</v>
      </c>
      <c r="Y395">
        <f t="shared" si="40"/>
        <v>2025</v>
      </c>
      <c r="Z395">
        <f t="shared" si="41"/>
        <v>7</v>
      </c>
    </row>
    <row r="396" spans="1:26" x14ac:dyDescent="0.3">
      <c r="A396" s="2">
        <v>1019</v>
      </c>
      <c r="B396" s="3">
        <v>45807</v>
      </c>
      <c r="C396" s="4" t="s">
        <v>79</v>
      </c>
      <c r="D396" s="4" t="s">
        <v>80</v>
      </c>
      <c r="E396" s="4" t="s">
        <v>81</v>
      </c>
      <c r="F396" s="4" t="s">
        <v>23</v>
      </c>
      <c r="G396" t="s">
        <v>82</v>
      </c>
      <c r="H396" s="2">
        <v>5</v>
      </c>
      <c r="I396" s="2">
        <v>80</v>
      </c>
      <c r="J396">
        <v>110</v>
      </c>
      <c r="K396">
        <v>0</v>
      </c>
      <c r="L396">
        <v>12</v>
      </c>
      <c r="M396" t="s">
        <v>25</v>
      </c>
      <c r="N396" t="s">
        <v>26</v>
      </c>
      <c r="O396">
        <v>68</v>
      </c>
      <c r="P396" t="s">
        <v>36</v>
      </c>
      <c r="Q396" t="s">
        <v>66</v>
      </c>
      <c r="R396" t="s">
        <v>86</v>
      </c>
      <c r="S396" t="s">
        <v>90</v>
      </c>
      <c r="T396" s="1">
        <v>46430</v>
      </c>
      <c r="U396">
        <f t="shared" si="36"/>
        <v>550</v>
      </c>
      <c r="V396">
        <f t="shared" si="37"/>
        <v>400</v>
      </c>
      <c r="W396">
        <f t="shared" si="38"/>
        <v>150</v>
      </c>
      <c r="X396" s="5">
        <f t="shared" si="39"/>
        <v>0.27272727272727271</v>
      </c>
      <c r="Y396">
        <f t="shared" si="40"/>
        <v>2025</v>
      </c>
      <c r="Z396">
        <f t="shared" si="41"/>
        <v>5</v>
      </c>
    </row>
    <row r="397" spans="1:26" x14ac:dyDescent="0.3">
      <c r="A397" s="2">
        <v>1020</v>
      </c>
      <c r="B397" s="3">
        <v>45990</v>
      </c>
      <c r="C397" s="4" t="s">
        <v>79</v>
      </c>
      <c r="D397" s="4" t="s">
        <v>80</v>
      </c>
      <c r="E397" s="4" t="s">
        <v>81</v>
      </c>
      <c r="F397" s="4" t="s">
        <v>23</v>
      </c>
      <c r="G397" t="s">
        <v>82</v>
      </c>
      <c r="H397" s="2">
        <v>5</v>
      </c>
      <c r="I397" s="2">
        <v>80</v>
      </c>
      <c r="J397">
        <v>110</v>
      </c>
      <c r="K397">
        <v>5</v>
      </c>
      <c r="L397">
        <v>12</v>
      </c>
      <c r="M397" t="s">
        <v>25</v>
      </c>
      <c r="N397" t="s">
        <v>44</v>
      </c>
      <c r="O397">
        <v>72</v>
      </c>
      <c r="P397" t="s">
        <v>36</v>
      </c>
      <c r="Q397" t="s">
        <v>28</v>
      </c>
      <c r="R397" t="s">
        <v>29</v>
      </c>
      <c r="S397" t="s">
        <v>91</v>
      </c>
      <c r="T397" s="1">
        <v>46437</v>
      </c>
      <c r="U397">
        <f t="shared" si="36"/>
        <v>550</v>
      </c>
      <c r="V397">
        <f t="shared" si="37"/>
        <v>400</v>
      </c>
      <c r="W397">
        <f t="shared" si="38"/>
        <v>150</v>
      </c>
      <c r="X397" s="5">
        <f t="shared" si="39"/>
        <v>0.27272727272727271</v>
      </c>
      <c r="Y397">
        <f t="shared" si="40"/>
        <v>2025</v>
      </c>
      <c r="Z397">
        <f t="shared" si="41"/>
        <v>11</v>
      </c>
    </row>
    <row r="398" spans="1:26" x14ac:dyDescent="0.3">
      <c r="A398" s="2">
        <v>1024</v>
      </c>
      <c r="B398" s="3">
        <v>46002</v>
      </c>
      <c r="C398" s="4" t="s">
        <v>31</v>
      </c>
      <c r="D398" s="4" t="s">
        <v>32</v>
      </c>
      <c r="E398" s="4" t="s">
        <v>33</v>
      </c>
      <c r="F398" s="4" t="s">
        <v>23</v>
      </c>
      <c r="G398" t="s">
        <v>34</v>
      </c>
      <c r="H398" s="2">
        <v>5</v>
      </c>
      <c r="I398" s="2">
        <v>140</v>
      </c>
      <c r="J398">
        <v>180</v>
      </c>
      <c r="K398">
        <v>5</v>
      </c>
      <c r="L398">
        <v>12</v>
      </c>
      <c r="M398" t="s">
        <v>43</v>
      </c>
      <c r="N398" t="s">
        <v>26</v>
      </c>
      <c r="O398">
        <v>21</v>
      </c>
      <c r="P398" t="s">
        <v>27</v>
      </c>
      <c r="Q398" t="s">
        <v>66</v>
      </c>
      <c r="R398" t="s">
        <v>86</v>
      </c>
      <c r="S398" t="s">
        <v>96</v>
      </c>
      <c r="T398" s="1">
        <v>46589</v>
      </c>
      <c r="U398">
        <f t="shared" si="36"/>
        <v>900</v>
      </c>
      <c r="V398">
        <f t="shared" si="37"/>
        <v>700</v>
      </c>
      <c r="W398">
        <f t="shared" si="38"/>
        <v>200</v>
      </c>
      <c r="X398" s="5">
        <f t="shared" si="39"/>
        <v>0.22222222222222221</v>
      </c>
      <c r="Y398">
        <f t="shared" si="40"/>
        <v>2025</v>
      </c>
      <c r="Z398">
        <f t="shared" si="41"/>
        <v>12</v>
      </c>
    </row>
    <row r="399" spans="1:26" x14ac:dyDescent="0.3">
      <c r="A399" s="2">
        <v>1032</v>
      </c>
      <c r="B399" s="3">
        <v>45807</v>
      </c>
      <c r="C399" s="4" t="s">
        <v>105</v>
      </c>
      <c r="D399" s="4" t="s">
        <v>106</v>
      </c>
      <c r="E399" s="4" t="s">
        <v>22</v>
      </c>
      <c r="F399" s="4" t="s">
        <v>23</v>
      </c>
      <c r="G399" t="s">
        <v>51</v>
      </c>
      <c r="H399" s="2">
        <v>5</v>
      </c>
      <c r="I399" s="2">
        <v>95</v>
      </c>
      <c r="J399">
        <v>125</v>
      </c>
      <c r="K399">
        <v>0</v>
      </c>
      <c r="L399">
        <v>12</v>
      </c>
      <c r="M399" t="s">
        <v>43</v>
      </c>
      <c r="N399" t="s">
        <v>26</v>
      </c>
      <c r="O399">
        <v>31</v>
      </c>
      <c r="P399" t="s">
        <v>27</v>
      </c>
      <c r="Q399" t="s">
        <v>28</v>
      </c>
      <c r="R399" t="s">
        <v>22</v>
      </c>
      <c r="S399" t="s">
        <v>107</v>
      </c>
      <c r="T399" s="1">
        <v>46427</v>
      </c>
      <c r="U399">
        <f t="shared" si="36"/>
        <v>625</v>
      </c>
      <c r="V399">
        <f t="shared" si="37"/>
        <v>475</v>
      </c>
      <c r="W399">
        <f t="shared" si="38"/>
        <v>150</v>
      </c>
      <c r="X399" s="5">
        <f t="shared" si="39"/>
        <v>0.24</v>
      </c>
      <c r="Y399">
        <f t="shared" si="40"/>
        <v>2025</v>
      </c>
      <c r="Z399">
        <f t="shared" si="41"/>
        <v>5</v>
      </c>
    </row>
    <row r="400" spans="1:26" x14ac:dyDescent="0.3">
      <c r="A400" s="2">
        <v>1035</v>
      </c>
      <c r="B400" s="3">
        <v>45825</v>
      </c>
      <c r="C400" s="4" t="s">
        <v>20</v>
      </c>
      <c r="D400" s="4" t="s">
        <v>21</v>
      </c>
      <c r="E400" s="4" t="s">
        <v>22</v>
      </c>
      <c r="F400" s="4" t="s">
        <v>23</v>
      </c>
      <c r="G400" t="s">
        <v>24</v>
      </c>
      <c r="H400" s="2">
        <v>5</v>
      </c>
      <c r="I400" s="2">
        <v>60</v>
      </c>
      <c r="J400">
        <v>85</v>
      </c>
      <c r="K400">
        <v>0</v>
      </c>
      <c r="L400">
        <v>12</v>
      </c>
      <c r="M400" t="s">
        <v>43</v>
      </c>
      <c r="N400" t="s">
        <v>44</v>
      </c>
      <c r="O400">
        <v>28</v>
      </c>
      <c r="P400" t="s">
        <v>36</v>
      </c>
      <c r="Q400" t="s">
        <v>28</v>
      </c>
      <c r="R400" t="s">
        <v>29</v>
      </c>
      <c r="S400" t="s">
        <v>112</v>
      </c>
      <c r="T400" s="1">
        <v>46121</v>
      </c>
      <c r="U400">
        <f t="shared" si="36"/>
        <v>425</v>
      </c>
      <c r="V400">
        <f t="shared" si="37"/>
        <v>300</v>
      </c>
      <c r="W400">
        <f t="shared" si="38"/>
        <v>125</v>
      </c>
      <c r="X400" s="5">
        <f t="shared" si="39"/>
        <v>0.29411764705882354</v>
      </c>
      <c r="Y400">
        <f t="shared" si="40"/>
        <v>2025</v>
      </c>
      <c r="Z400">
        <f t="shared" si="41"/>
        <v>6</v>
      </c>
    </row>
    <row r="401" spans="1:26" x14ac:dyDescent="0.3">
      <c r="A401" s="2">
        <v>1039</v>
      </c>
      <c r="B401" s="3">
        <v>45706</v>
      </c>
      <c r="C401" s="4" t="s">
        <v>69</v>
      </c>
      <c r="D401" s="4" t="s">
        <v>48</v>
      </c>
      <c r="E401" s="4" t="s">
        <v>70</v>
      </c>
      <c r="F401" s="4" t="s">
        <v>50</v>
      </c>
      <c r="G401" t="s">
        <v>71</v>
      </c>
      <c r="H401" s="2">
        <v>5</v>
      </c>
      <c r="I401" s="2">
        <v>25</v>
      </c>
      <c r="J401">
        <v>38</v>
      </c>
      <c r="K401">
        <v>0</v>
      </c>
      <c r="L401">
        <v>12</v>
      </c>
      <c r="M401" t="s">
        <v>35</v>
      </c>
      <c r="N401" t="s">
        <v>26</v>
      </c>
      <c r="O401">
        <v>48</v>
      </c>
      <c r="P401" t="s">
        <v>36</v>
      </c>
      <c r="Q401" t="s">
        <v>28</v>
      </c>
      <c r="R401" t="s">
        <v>22</v>
      </c>
      <c r="S401" t="s">
        <v>116</v>
      </c>
      <c r="T401" s="1">
        <v>45900</v>
      </c>
      <c r="U401">
        <f t="shared" si="36"/>
        <v>190</v>
      </c>
      <c r="V401">
        <f t="shared" si="37"/>
        <v>125</v>
      </c>
      <c r="W401">
        <f t="shared" si="38"/>
        <v>65</v>
      </c>
      <c r="X401" s="5">
        <f t="shared" si="39"/>
        <v>0.34210526315789475</v>
      </c>
      <c r="Y401">
        <f t="shared" si="40"/>
        <v>2025</v>
      </c>
      <c r="Z401">
        <f t="shared" si="41"/>
        <v>2</v>
      </c>
    </row>
    <row r="402" spans="1:26" x14ac:dyDescent="0.3">
      <c r="A402" s="2">
        <v>1041</v>
      </c>
      <c r="B402" s="3">
        <v>45827</v>
      </c>
      <c r="C402" s="4" t="s">
        <v>20</v>
      </c>
      <c r="D402" s="4" t="s">
        <v>21</v>
      </c>
      <c r="E402" s="4" t="s">
        <v>22</v>
      </c>
      <c r="F402" s="4" t="s">
        <v>23</v>
      </c>
      <c r="G402" t="s">
        <v>24</v>
      </c>
      <c r="H402" s="2">
        <v>5</v>
      </c>
      <c r="I402" s="2">
        <v>60</v>
      </c>
      <c r="J402">
        <v>85</v>
      </c>
      <c r="K402">
        <v>5</v>
      </c>
      <c r="L402">
        <v>12</v>
      </c>
      <c r="M402" t="s">
        <v>25</v>
      </c>
      <c r="N402" t="s">
        <v>26</v>
      </c>
      <c r="O402">
        <v>59</v>
      </c>
      <c r="P402" t="s">
        <v>36</v>
      </c>
      <c r="Q402" t="s">
        <v>59</v>
      </c>
      <c r="R402" t="s">
        <v>38</v>
      </c>
      <c r="S402" t="s">
        <v>118</v>
      </c>
      <c r="T402" s="1">
        <v>46574</v>
      </c>
      <c r="U402">
        <f t="shared" si="36"/>
        <v>425</v>
      </c>
      <c r="V402">
        <f t="shared" si="37"/>
        <v>300</v>
      </c>
      <c r="W402">
        <f t="shared" si="38"/>
        <v>125</v>
      </c>
      <c r="X402" s="5">
        <f t="shared" si="39"/>
        <v>0.29411764705882354</v>
      </c>
      <c r="Y402">
        <f t="shared" si="40"/>
        <v>2025</v>
      </c>
      <c r="Z402">
        <f t="shared" si="41"/>
        <v>6</v>
      </c>
    </row>
    <row r="403" spans="1:26" x14ac:dyDescent="0.3">
      <c r="A403" s="2">
        <v>1044</v>
      </c>
      <c r="B403" s="3">
        <v>45850</v>
      </c>
      <c r="C403" s="4" t="s">
        <v>61</v>
      </c>
      <c r="D403" s="4" t="s">
        <v>62</v>
      </c>
      <c r="E403" s="4" t="s">
        <v>63</v>
      </c>
      <c r="F403" s="4" t="s">
        <v>23</v>
      </c>
      <c r="G403" t="s">
        <v>64</v>
      </c>
      <c r="H403" s="2">
        <v>5</v>
      </c>
      <c r="I403" s="2">
        <v>12</v>
      </c>
      <c r="J403">
        <v>20</v>
      </c>
      <c r="K403">
        <v>5</v>
      </c>
      <c r="L403">
        <v>12</v>
      </c>
      <c r="M403" t="s">
        <v>35</v>
      </c>
      <c r="N403" t="s">
        <v>26</v>
      </c>
      <c r="O403">
        <v>72</v>
      </c>
      <c r="P403" t="s">
        <v>27</v>
      </c>
      <c r="Q403" t="s">
        <v>37</v>
      </c>
      <c r="R403" t="s">
        <v>86</v>
      </c>
      <c r="S403" t="s">
        <v>121</v>
      </c>
      <c r="T403" s="1">
        <v>46606</v>
      </c>
      <c r="U403">
        <f t="shared" si="36"/>
        <v>100</v>
      </c>
      <c r="V403">
        <f t="shared" si="37"/>
        <v>60</v>
      </c>
      <c r="W403">
        <f t="shared" si="38"/>
        <v>40</v>
      </c>
      <c r="X403" s="5">
        <f t="shared" si="39"/>
        <v>0.4</v>
      </c>
      <c r="Y403">
        <f t="shared" si="40"/>
        <v>2025</v>
      </c>
      <c r="Z403">
        <f t="shared" si="41"/>
        <v>7</v>
      </c>
    </row>
    <row r="404" spans="1:26" x14ac:dyDescent="0.3">
      <c r="A404" s="2">
        <v>1048</v>
      </c>
      <c r="B404" s="3">
        <v>45863</v>
      </c>
      <c r="C404" s="4" t="s">
        <v>92</v>
      </c>
      <c r="D404" s="4" t="s">
        <v>48</v>
      </c>
      <c r="E404" s="4" t="s">
        <v>54</v>
      </c>
      <c r="F404" s="4" t="s">
        <v>23</v>
      </c>
      <c r="G404" t="s">
        <v>82</v>
      </c>
      <c r="H404" s="2">
        <v>5</v>
      </c>
      <c r="I404" s="2">
        <v>18</v>
      </c>
      <c r="J404">
        <v>28</v>
      </c>
      <c r="K404">
        <v>0</v>
      </c>
      <c r="L404">
        <v>12</v>
      </c>
      <c r="M404" t="s">
        <v>43</v>
      </c>
      <c r="N404" t="s">
        <v>26</v>
      </c>
      <c r="O404">
        <v>62</v>
      </c>
      <c r="P404" t="s">
        <v>52</v>
      </c>
      <c r="Q404" t="s">
        <v>28</v>
      </c>
      <c r="R404" t="s">
        <v>38</v>
      </c>
      <c r="S404" t="s">
        <v>125</v>
      </c>
      <c r="T404" s="1">
        <v>46115</v>
      </c>
      <c r="U404">
        <f t="shared" si="36"/>
        <v>140</v>
      </c>
      <c r="V404">
        <f t="shared" si="37"/>
        <v>90</v>
      </c>
      <c r="W404">
        <f t="shared" si="38"/>
        <v>50</v>
      </c>
      <c r="X404" s="5">
        <f t="shared" si="39"/>
        <v>0.35714285714285715</v>
      </c>
      <c r="Y404">
        <f t="shared" si="40"/>
        <v>2025</v>
      </c>
      <c r="Z404">
        <f t="shared" si="41"/>
        <v>7</v>
      </c>
    </row>
    <row r="405" spans="1:26" x14ac:dyDescent="0.3">
      <c r="A405" s="2">
        <v>1050</v>
      </c>
      <c r="B405" s="3">
        <v>45795</v>
      </c>
      <c r="C405" s="4" t="s">
        <v>20</v>
      </c>
      <c r="D405" s="4" t="s">
        <v>21</v>
      </c>
      <c r="E405" s="4" t="s">
        <v>22</v>
      </c>
      <c r="F405" s="4" t="s">
        <v>23</v>
      </c>
      <c r="G405" t="s">
        <v>24</v>
      </c>
      <c r="H405" s="2">
        <v>5</v>
      </c>
      <c r="I405" s="2">
        <v>60</v>
      </c>
      <c r="J405">
        <v>85</v>
      </c>
      <c r="K405">
        <v>0</v>
      </c>
      <c r="L405">
        <v>12</v>
      </c>
      <c r="M405" t="s">
        <v>25</v>
      </c>
      <c r="N405" t="s">
        <v>26</v>
      </c>
      <c r="O405">
        <v>28</v>
      </c>
      <c r="P405" t="s">
        <v>45</v>
      </c>
      <c r="Q405" t="s">
        <v>53</v>
      </c>
      <c r="R405" t="s">
        <v>54</v>
      </c>
      <c r="S405" t="s">
        <v>127</v>
      </c>
      <c r="T405" s="1">
        <v>46196</v>
      </c>
      <c r="U405">
        <f t="shared" si="36"/>
        <v>425</v>
      </c>
      <c r="V405">
        <f t="shared" si="37"/>
        <v>300</v>
      </c>
      <c r="W405">
        <f t="shared" si="38"/>
        <v>125</v>
      </c>
      <c r="X405" s="5">
        <f t="shared" si="39"/>
        <v>0.29411764705882354</v>
      </c>
      <c r="Y405">
        <f t="shared" si="40"/>
        <v>2025</v>
      </c>
      <c r="Z405">
        <f t="shared" si="41"/>
        <v>5</v>
      </c>
    </row>
    <row r="406" spans="1:26" x14ac:dyDescent="0.3">
      <c r="A406" s="2">
        <v>1053</v>
      </c>
      <c r="B406" s="3">
        <v>45855</v>
      </c>
      <c r="C406" s="4" t="s">
        <v>98</v>
      </c>
      <c r="D406" s="4" t="s">
        <v>41</v>
      </c>
      <c r="E406" s="4" t="s">
        <v>33</v>
      </c>
      <c r="F406" s="4" t="s">
        <v>23</v>
      </c>
      <c r="G406" t="s">
        <v>82</v>
      </c>
      <c r="H406" s="2">
        <v>5</v>
      </c>
      <c r="I406" s="2">
        <v>22</v>
      </c>
      <c r="J406">
        <v>32</v>
      </c>
      <c r="K406">
        <v>10</v>
      </c>
      <c r="L406">
        <v>12</v>
      </c>
      <c r="M406" t="s">
        <v>43</v>
      </c>
      <c r="N406" t="s">
        <v>26</v>
      </c>
      <c r="O406">
        <v>41</v>
      </c>
      <c r="P406" t="s">
        <v>36</v>
      </c>
      <c r="Q406" t="s">
        <v>28</v>
      </c>
      <c r="R406" t="s">
        <v>29</v>
      </c>
      <c r="S406" t="s">
        <v>130</v>
      </c>
      <c r="T406" s="1">
        <v>46181</v>
      </c>
      <c r="U406">
        <f t="shared" si="36"/>
        <v>160</v>
      </c>
      <c r="V406">
        <f t="shared" si="37"/>
        <v>110</v>
      </c>
      <c r="W406">
        <f t="shared" si="38"/>
        <v>50</v>
      </c>
      <c r="X406" s="5">
        <f t="shared" si="39"/>
        <v>0.3125</v>
      </c>
      <c r="Y406">
        <f t="shared" si="40"/>
        <v>2025</v>
      </c>
      <c r="Z406">
        <f t="shared" si="41"/>
        <v>7</v>
      </c>
    </row>
    <row r="407" spans="1:26" x14ac:dyDescent="0.3">
      <c r="A407" s="2">
        <v>1057</v>
      </c>
      <c r="B407" s="3">
        <v>45897</v>
      </c>
      <c r="C407" s="4" t="s">
        <v>31</v>
      </c>
      <c r="D407" s="4" t="s">
        <v>32</v>
      </c>
      <c r="E407" s="4" t="s">
        <v>33</v>
      </c>
      <c r="F407" s="4" t="s">
        <v>23</v>
      </c>
      <c r="G407" t="s">
        <v>34</v>
      </c>
      <c r="H407" s="2">
        <v>5</v>
      </c>
      <c r="I407" s="2">
        <v>140</v>
      </c>
      <c r="J407">
        <v>180</v>
      </c>
      <c r="K407">
        <v>5</v>
      </c>
      <c r="L407">
        <v>12</v>
      </c>
      <c r="M407" t="s">
        <v>35</v>
      </c>
      <c r="N407" t="s">
        <v>44</v>
      </c>
      <c r="O407">
        <v>47</v>
      </c>
      <c r="P407" t="s">
        <v>36</v>
      </c>
      <c r="Q407" t="s">
        <v>53</v>
      </c>
      <c r="R407" t="s">
        <v>38</v>
      </c>
      <c r="S407" t="s">
        <v>94</v>
      </c>
      <c r="T407" s="1">
        <v>46750</v>
      </c>
      <c r="U407">
        <f t="shared" si="36"/>
        <v>900</v>
      </c>
      <c r="V407">
        <f t="shared" si="37"/>
        <v>700</v>
      </c>
      <c r="W407">
        <f t="shared" si="38"/>
        <v>200</v>
      </c>
      <c r="X407" s="5">
        <f t="shared" si="39"/>
        <v>0.22222222222222221</v>
      </c>
      <c r="Y407">
        <f t="shared" si="40"/>
        <v>2025</v>
      </c>
      <c r="Z407">
        <f t="shared" si="41"/>
        <v>8</v>
      </c>
    </row>
    <row r="408" spans="1:26" x14ac:dyDescent="0.3">
      <c r="A408" s="2">
        <v>1060</v>
      </c>
      <c r="B408" s="3">
        <v>45915</v>
      </c>
      <c r="C408" s="4" t="s">
        <v>31</v>
      </c>
      <c r="D408" s="4" t="s">
        <v>32</v>
      </c>
      <c r="E408" s="4" t="s">
        <v>33</v>
      </c>
      <c r="F408" s="4" t="s">
        <v>23</v>
      </c>
      <c r="G408" t="s">
        <v>34</v>
      </c>
      <c r="H408" s="2">
        <v>5</v>
      </c>
      <c r="I408" s="2">
        <v>140</v>
      </c>
      <c r="J408">
        <v>180</v>
      </c>
      <c r="K408">
        <v>0</v>
      </c>
      <c r="L408">
        <v>12</v>
      </c>
      <c r="M408" t="s">
        <v>25</v>
      </c>
      <c r="N408" t="s">
        <v>44</v>
      </c>
      <c r="O408">
        <v>46</v>
      </c>
      <c r="P408" t="s">
        <v>27</v>
      </c>
      <c r="Q408" t="s">
        <v>66</v>
      </c>
      <c r="R408" t="s">
        <v>29</v>
      </c>
      <c r="S408" t="s">
        <v>137</v>
      </c>
      <c r="T408" s="1">
        <v>46256</v>
      </c>
      <c r="U408">
        <f t="shared" si="36"/>
        <v>900</v>
      </c>
      <c r="V408">
        <f t="shared" si="37"/>
        <v>700</v>
      </c>
      <c r="W408">
        <f t="shared" si="38"/>
        <v>200</v>
      </c>
      <c r="X408" s="5">
        <f t="shared" si="39"/>
        <v>0.22222222222222221</v>
      </c>
      <c r="Y408">
        <f t="shared" si="40"/>
        <v>2025</v>
      </c>
      <c r="Z408">
        <f t="shared" si="41"/>
        <v>9</v>
      </c>
    </row>
    <row r="409" spans="1:26" x14ac:dyDescent="0.3">
      <c r="A409" s="2">
        <v>1061</v>
      </c>
      <c r="B409" s="3">
        <v>45921</v>
      </c>
      <c r="C409" s="4" t="s">
        <v>84</v>
      </c>
      <c r="D409" s="4" t="s">
        <v>85</v>
      </c>
      <c r="E409" s="4" t="s">
        <v>63</v>
      </c>
      <c r="F409" s="4" t="s">
        <v>23</v>
      </c>
      <c r="G409" t="s">
        <v>82</v>
      </c>
      <c r="H409" s="2">
        <v>5</v>
      </c>
      <c r="I409" s="2">
        <v>45</v>
      </c>
      <c r="J409">
        <v>65</v>
      </c>
      <c r="K409">
        <v>5</v>
      </c>
      <c r="L409">
        <v>12</v>
      </c>
      <c r="M409" t="s">
        <v>43</v>
      </c>
      <c r="N409" t="s">
        <v>44</v>
      </c>
      <c r="O409">
        <v>50</v>
      </c>
      <c r="P409" t="s">
        <v>27</v>
      </c>
      <c r="Q409" t="s">
        <v>53</v>
      </c>
      <c r="R409" t="s">
        <v>29</v>
      </c>
      <c r="S409" t="s">
        <v>138</v>
      </c>
      <c r="T409" s="1">
        <v>46467</v>
      </c>
      <c r="U409">
        <f t="shared" si="36"/>
        <v>325</v>
      </c>
      <c r="V409">
        <f t="shared" si="37"/>
        <v>225</v>
      </c>
      <c r="W409">
        <f t="shared" si="38"/>
        <v>100</v>
      </c>
      <c r="X409" s="5">
        <f t="shared" si="39"/>
        <v>0.30769230769230771</v>
      </c>
      <c r="Y409">
        <f t="shared" si="40"/>
        <v>2025</v>
      </c>
      <c r="Z409">
        <f t="shared" si="41"/>
        <v>9</v>
      </c>
    </row>
    <row r="410" spans="1:26" x14ac:dyDescent="0.3">
      <c r="A410" s="2">
        <v>1062</v>
      </c>
      <c r="B410" s="3">
        <v>46008</v>
      </c>
      <c r="C410" s="4" t="s">
        <v>79</v>
      </c>
      <c r="D410" s="4" t="s">
        <v>80</v>
      </c>
      <c r="E410" s="4" t="s">
        <v>81</v>
      </c>
      <c r="F410" s="4" t="s">
        <v>23</v>
      </c>
      <c r="G410" t="s">
        <v>82</v>
      </c>
      <c r="H410" s="2">
        <v>5</v>
      </c>
      <c r="I410" s="2">
        <v>80</v>
      </c>
      <c r="J410">
        <v>110</v>
      </c>
      <c r="K410">
        <v>0</v>
      </c>
      <c r="L410">
        <v>12</v>
      </c>
      <c r="M410" t="s">
        <v>25</v>
      </c>
      <c r="N410" t="s">
        <v>26</v>
      </c>
      <c r="O410">
        <v>39</v>
      </c>
      <c r="P410" t="s">
        <v>27</v>
      </c>
      <c r="Q410" t="s">
        <v>53</v>
      </c>
      <c r="R410" t="s">
        <v>29</v>
      </c>
      <c r="S410" t="s">
        <v>139</v>
      </c>
      <c r="T410" s="1">
        <v>46861</v>
      </c>
      <c r="U410">
        <f t="shared" si="36"/>
        <v>550</v>
      </c>
      <c r="V410">
        <f t="shared" si="37"/>
        <v>400</v>
      </c>
      <c r="W410">
        <f t="shared" si="38"/>
        <v>150</v>
      </c>
      <c r="X410" s="5">
        <f t="shared" si="39"/>
        <v>0.27272727272727271</v>
      </c>
      <c r="Y410">
        <f t="shared" si="40"/>
        <v>2025</v>
      </c>
      <c r="Z410">
        <f t="shared" si="41"/>
        <v>12</v>
      </c>
    </row>
    <row r="411" spans="1:26" x14ac:dyDescent="0.3">
      <c r="A411" s="2">
        <v>1070</v>
      </c>
      <c r="B411" s="3">
        <v>45898</v>
      </c>
      <c r="C411" s="4" t="s">
        <v>108</v>
      </c>
      <c r="D411" s="4" t="s">
        <v>32</v>
      </c>
      <c r="E411" s="4" t="s">
        <v>109</v>
      </c>
      <c r="F411" s="4" t="s">
        <v>23</v>
      </c>
      <c r="G411" t="s">
        <v>82</v>
      </c>
      <c r="H411" s="2">
        <v>5</v>
      </c>
      <c r="I411" s="2">
        <v>90</v>
      </c>
      <c r="J411">
        <v>120</v>
      </c>
      <c r="K411">
        <v>5</v>
      </c>
      <c r="L411">
        <v>12</v>
      </c>
      <c r="M411" t="s">
        <v>43</v>
      </c>
      <c r="N411" t="s">
        <v>26</v>
      </c>
      <c r="O411">
        <v>55</v>
      </c>
      <c r="P411" t="s">
        <v>36</v>
      </c>
      <c r="Q411" t="s">
        <v>37</v>
      </c>
      <c r="R411" t="s">
        <v>22</v>
      </c>
      <c r="S411" t="s">
        <v>147</v>
      </c>
      <c r="T411" s="1">
        <v>46630</v>
      </c>
      <c r="U411">
        <f t="shared" si="36"/>
        <v>600</v>
      </c>
      <c r="V411">
        <f t="shared" si="37"/>
        <v>450</v>
      </c>
      <c r="W411">
        <f t="shared" si="38"/>
        <v>150</v>
      </c>
      <c r="X411" s="5">
        <f t="shared" si="39"/>
        <v>0.25</v>
      </c>
      <c r="Y411">
        <f t="shared" si="40"/>
        <v>2025</v>
      </c>
      <c r="Z411">
        <f t="shared" si="41"/>
        <v>8</v>
      </c>
    </row>
    <row r="412" spans="1:26" x14ac:dyDescent="0.3">
      <c r="A412" s="2">
        <v>1071</v>
      </c>
      <c r="B412" s="3">
        <v>45776</v>
      </c>
      <c r="C412" s="4" t="s">
        <v>105</v>
      </c>
      <c r="D412" s="4" t="s">
        <v>106</v>
      </c>
      <c r="E412" s="4" t="s">
        <v>22</v>
      </c>
      <c r="F412" s="4" t="s">
        <v>23</v>
      </c>
      <c r="G412" t="s">
        <v>51</v>
      </c>
      <c r="H412" s="2">
        <v>5</v>
      </c>
      <c r="I412" s="2">
        <v>95</v>
      </c>
      <c r="J412">
        <v>125</v>
      </c>
      <c r="K412">
        <v>5</v>
      </c>
      <c r="L412">
        <v>12</v>
      </c>
      <c r="M412" t="s">
        <v>35</v>
      </c>
      <c r="N412" t="s">
        <v>26</v>
      </c>
      <c r="O412">
        <v>20</v>
      </c>
      <c r="P412" t="s">
        <v>52</v>
      </c>
      <c r="Q412" t="s">
        <v>53</v>
      </c>
      <c r="R412" t="s">
        <v>86</v>
      </c>
      <c r="S412" t="s">
        <v>148</v>
      </c>
      <c r="T412" s="1">
        <v>46086</v>
      </c>
      <c r="U412">
        <f t="shared" si="36"/>
        <v>625</v>
      </c>
      <c r="V412">
        <f t="shared" si="37"/>
        <v>475</v>
      </c>
      <c r="W412">
        <f t="shared" si="38"/>
        <v>150</v>
      </c>
      <c r="X412" s="5">
        <f t="shared" si="39"/>
        <v>0.24</v>
      </c>
      <c r="Y412">
        <f t="shared" si="40"/>
        <v>2025</v>
      </c>
      <c r="Z412">
        <f t="shared" si="41"/>
        <v>4</v>
      </c>
    </row>
    <row r="413" spans="1:26" x14ac:dyDescent="0.3">
      <c r="A413" s="2">
        <v>1075</v>
      </c>
      <c r="B413" s="3">
        <v>45786</v>
      </c>
      <c r="C413" s="4" t="s">
        <v>98</v>
      </c>
      <c r="D413" s="4" t="s">
        <v>41</v>
      </c>
      <c r="E413" s="4" t="s">
        <v>33</v>
      </c>
      <c r="F413" s="4" t="s">
        <v>23</v>
      </c>
      <c r="G413" t="s">
        <v>82</v>
      </c>
      <c r="H413" s="2">
        <v>5</v>
      </c>
      <c r="I413" s="2">
        <v>22</v>
      </c>
      <c r="J413">
        <v>32</v>
      </c>
      <c r="K413">
        <v>0</v>
      </c>
      <c r="L413">
        <v>12</v>
      </c>
      <c r="M413" t="s">
        <v>43</v>
      </c>
      <c r="N413" t="s">
        <v>26</v>
      </c>
      <c r="O413">
        <v>35</v>
      </c>
      <c r="P413" t="s">
        <v>45</v>
      </c>
      <c r="Q413" t="s">
        <v>66</v>
      </c>
      <c r="R413" t="s">
        <v>22</v>
      </c>
      <c r="S413" t="s">
        <v>152</v>
      </c>
      <c r="T413" s="1">
        <v>46351</v>
      </c>
      <c r="U413">
        <f t="shared" si="36"/>
        <v>160</v>
      </c>
      <c r="V413">
        <f t="shared" si="37"/>
        <v>110</v>
      </c>
      <c r="W413">
        <f t="shared" si="38"/>
        <v>50</v>
      </c>
      <c r="X413" s="5">
        <f t="shared" si="39"/>
        <v>0.3125</v>
      </c>
      <c r="Y413">
        <f t="shared" si="40"/>
        <v>2025</v>
      </c>
      <c r="Z413">
        <f t="shared" si="41"/>
        <v>5</v>
      </c>
    </row>
    <row r="414" spans="1:26" x14ac:dyDescent="0.3">
      <c r="A414" s="2">
        <v>1078</v>
      </c>
      <c r="B414" s="3">
        <v>45898</v>
      </c>
      <c r="C414" s="4" t="s">
        <v>69</v>
      </c>
      <c r="D414" s="4" t="s">
        <v>48</v>
      </c>
      <c r="E414" s="4" t="s">
        <v>70</v>
      </c>
      <c r="F414" s="4" t="s">
        <v>50</v>
      </c>
      <c r="G414" t="s">
        <v>71</v>
      </c>
      <c r="H414" s="2">
        <v>5</v>
      </c>
      <c r="I414" s="2">
        <v>25</v>
      </c>
      <c r="J414">
        <v>38</v>
      </c>
      <c r="K414">
        <v>0</v>
      </c>
      <c r="L414">
        <v>12</v>
      </c>
      <c r="M414" t="s">
        <v>25</v>
      </c>
      <c r="N414" t="s">
        <v>44</v>
      </c>
      <c r="O414">
        <v>38</v>
      </c>
      <c r="P414" t="s">
        <v>45</v>
      </c>
      <c r="Q414" t="s">
        <v>66</v>
      </c>
      <c r="R414" t="s">
        <v>54</v>
      </c>
      <c r="S414" t="s">
        <v>155</v>
      </c>
      <c r="T414" s="1">
        <v>46195</v>
      </c>
      <c r="U414">
        <f t="shared" si="36"/>
        <v>190</v>
      </c>
      <c r="V414">
        <f t="shared" si="37"/>
        <v>125</v>
      </c>
      <c r="W414">
        <f t="shared" si="38"/>
        <v>65</v>
      </c>
      <c r="X414" s="5">
        <f t="shared" si="39"/>
        <v>0.34210526315789475</v>
      </c>
      <c r="Y414">
        <f t="shared" si="40"/>
        <v>2025</v>
      </c>
      <c r="Z414">
        <f t="shared" si="41"/>
        <v>8</v>
      </c>
    </row>
    <row r="415" spans="1:26" x14ac:dyDescent="0.3">
      <c r="A415" s="2">
        <v>1088</v>
      </c>
      <c r="B415" s="3">
        <v>45997</v>
      </c>
      <c r="C415" s="4" t="s">
        <v>56</v>
      </c>
      <c r="D415" s="4" t="s">
        <v>57</v>
      </c>
      <c r="E415" s="4" t="s">
        <v>58</v>
      </c>
      <c r="F415" s="4" t="s">
        <v>23</v>
      </c>
      <c r="G415" t="s">
        <v>24</v>
      </c>
      <c r="H415" s="2">
        <v>5</v>
      </c>
      <c r="I415" s="2">
        <v>75</v>
      </c>
      <c r="J415">
        <v>100</v>
      </c>
      <c r="K415">
        <v>0</v>
      </c>
      <c r="L415">
        <v>12</v>
      </c>
      <c r="M415" t="s">
        <v>25</v>
      </c>
      <c r="N415" t="s">
        <v>26</v>
      </c>
      <c r="O415">
        <v>19</v>
      </c>
      <c r="P415" t="s">
        <v>27</v>
      </c>
      <c r="Q415" t="s">
        <v>28</v>
      </c>
      <c r="R415" t="s">
        <v>38</v>
      </c>
      <c r="S415" t="s">
        <v>165</v>
      </c>
      <c r="T415" s="1">
        <v>46687</v>
      </c>
      <c r="U415">
        <f t="shared" si="36"/>
        <v>500</v>
      </c>
      <c r="V415">
        <f t="shared" si="37"/>
        <v>375</v>
      </c>
      <c r="W415">
        <f t="shared" si="38"/>
        <v>125</v>
      </c>
      <c r="X415" s="5">
        <f t="shared" si="39"/>
        <v>0.25</v>
      </c>
      <c r="Y415">
        <f t="shared" si="40"/>
        <v>2025</v>
      </c>
      <c r="Z415">
        <f t="shared" si="41"/>
        <v>12</v>
      </c>
    </row>
    <row r="416" spans="1:26" x14ac:dyDescent="0.3">
      <c r="A416" s="2">
        <v>1094</v>
      </c>
      <c r="B416" s="3">
        <v>45929</v>
      </c>
      <c r="C416" s="4" t="s">
        <v>84</v>
      </c>
      <c r="D416" s="4" t="s">
        <v>85</v>
      </c>
      <c r="E416" s="4" t="s">
        <v>63</v>
      </c>
      <c r="F416" s="4" t="s">
        <v>23</v>
      </c>
      <c r="G416" t="s">
        <v>82</v>
      </c>
      <c r="H416" s="2">
        <v>5</v>
      </c>
      <c r="I416" s="2">
        <v>45</v>
      </c>
      <c r="J416">
        <v>65</v>
      </c>
      <c r="K416">
        <v>10</v>
      </c>
      <c r="L416">
        <v>12</v>
      </c>
      <c r="M416" t="s">
        <v>25</v>
      </c>
      <c r="N416" t="s">
        <v>26</v>
      </c>
      <c r="O416">
        <v>36</v>
      </c>
      <c r="P416" t="s">
        <v>27</v>
      </c>
      <c r="Q416" t="s">
        <v>28</v>
      </c>
      <c r="R416" t="s">
        <v>86</v>
      </c>
      <c r="S416" t="s">
        <v>171</v>
      </c>
      <c r="T416" s="1">
        <v>46630</v>
      </c>
      <c r="U416">
        <f t="shared" si="36"/>
        <v>325</v>
      </c>
      <c r="V416">
        <f t="shared" si="37"/>
        <v>225</v>
      </c>
      <c r="W416">
        <f t="shared" si="38"/>
        <v>100</v>
      </c>
      <c r="X416" s="5">
        <f t="shared" si="39"/>
        <v>0.30769230769230771</v>
      </c>
      <c r="Y416">
        <f t="shared" si="40"/>
        <v>2025</v>
      </c>
      <c r="Z416">
        <f t="shared" si="41"/>
        <v>9</v>
      </c>
    </row>
    <row r="417" spans="1:26" x14ac:dyDescent="0.3">
      <c r="A417" s="2">
        <v>1097</v>
      </c>
      <c r="B417" s="3">
        <v>45985</v>
      </c>
      <c r="C417" s="4" t="s">
        <v>31</v>
      </c>
      <c r="D417" s="4" t="s">
        <v>32</v>
      </c>
      <c r="E417" s="4" t="s">
        <v>33</v>
      </c>
      <c r="F417" s="4" t="s">
        <v>23</v>
      </c>
      <c r="G417" t="s">
        <v>34</v>
      </c>
      <c r="H417" s="2">
        <v>5</v>
      </c>
      <c r="I417" s="2">
        <v>140</v>
      </c>
      <c r="J417">
        <v>180</v>
      </c>
      <c r="K417">
        <v>0</v>
      </c>
      <c r="L417">
        <v>12</v>
      </c>
      <c r="M417" t="s">
        <v>43</v>
      </c>
      <c r="N417" t="s">
        <v>44</v>
      </c>
      <c r="O417">
        <v>63</v>
      </c>
      <c r="P417" t="s">
        <v>45</v>
      </c>
      <c r="Q417" t="s">
        <v>28</v>
      </c>
      <c r="R417" t="s">
        <v>38</v>
      </c>
      <c r="S417" t="s">
        <v>174</v>
      </c>
      <c r="T417" s="1">
        <v>46221</v>
      </c>
      <c r="U417">
        <f t="shared" si="36"/>
        <v>900</v>
      </c>
      <c r="V417">
        <f t="shared" si="37"/>
        <v>700</v>
      </c>
      <c r="W417">
        <f t="shared" si="38"/>
        <v>200</v>
      </c>
      <c r="X417" s="5">
        <f t="shared" si="39"/>
        <v>0.22222222222222221</v>
      </c>
      <c r="Y417">
        <f t="shared" si="40"/>
        <v>2025</v>
      </c>
      <c r="Z417">
        <f t="shared" si="41"/>
        <v>11</v>
      </c>
    </row>
    <row r="418" spans="1:26" x14ac:dyDescent="0.3">
      <c r="A418" s="2">
        <v>1103</v>
      </c>
      <c r="B418" s="3">
        <v>45796</v>
      </c>
      <c r="C418" s="4" t="s">
        <v>40</v>
      </c>
      <c r="D418" s="4" t="s">
        <v>41</v>
      </c>
      <c r="E418" s="4" t="s">
        <v>33</v>
      </c>
      <c r="F418" s="4" t="s">
        <v>23</v>
      </c>
      <c r="G418" t="s">
        <v>42</v>
      </c>
      <c r="H418" s="2">
        <v>5</v>
      </c>
      <c r="I418" s="2">
        <v>24</v>
      </c>
      <c r="J418">
        <v>34</v>
      </c>
      <c r="K418">
        <v>5</v>
      </c>
      <c r="L418">
        <v>12</v>
      </c>
      <c r="M418" t="s">
        <v>25</v>
      </c>
      <c r="N418" t="s">
        <v>26</v>
      </c>
      <c r="O418">
        <v>62</v>
      </c>
      <c r="P418" t="s">
        <v>27</v>
      </c>
      <c r="Q418" t="s">
        <v>28</v>
      </c>
      <c r="R418" t="s">
        <v>29</v>
      </c>
      <c r="S418" t="s">
        <v>180</v>
      </c>
      <c r="T418" s="1">
        <v>46112</v>
      </c>
      <c r="U418">
        <f t="shared" si="36"/>
        <v>170</v>
      </c>
      <c r="V418">
        <f t="shared" si="37"/>
        <v>120</v>
      </c>
      <c r="W418">
        <f t="shared" si="38"/>
        <v>50</v>
      </c>
      <c r="X418" s="5">
        <f t="shared" si="39"/>
        <v>0.29411764705882354</v>
      </c>
      <c r="Y418">
        <f t="shared" si="40"/>
        <v>2025</v>
      </c>
      <c r="Z418">
        <f t="shared" si="41"/>
        <v>5</v>
      </c>
    </row>
    <row r="419" spans="1:26" x14ac:dyDescent="0.3">
      <c r="A419" s="2">
        <v>1106</v>
      </c>
      <c r="B419" s="3">
        <v>45697</v>
      </c>
      <c r="C419" s="4" t="s">
        <v>84</v>
      </c>
      <c r="D419" s="4" t="s">
        <v>85</v>
      </c>
      <c r="E419" s="4" t="s">
        <v>63</v>
      </c>
      <c r="F419" s="4" t="s">
        <v>23</v>
      </c>
      <c r="G419" t="s">
        <v>82</v>
      </c>
      <c r="H419" s="2">
        <v>5</v>
      </c>
      <c r="I419" s="2">
        <v>45</v>
      </c>
      <c r="J419">
        <v>65</v>
      </c>
      <c r="K419">
        <v>5</v>
      </c>
      <c r="L419">
        <v>12</v>
      </c>
      <c r="M419" t="s">
        <v>35</v>
      </c>
      <c r="N419" t="s">
        <v>26</v>
      </c>
      <c r="O419">
        <v>32</v>
      </c>
      <c r="P419" t="s">
        <v>52</v>
      </c>
      <c r="Q419" t="s">
        <v>59</v>
      </c>
      <c r="R419" t="s">
        <v>22</v>
      </c>
      <c r="S419" t="s">
        <v>183</v>
      </c>
      <c r="T419" s="1">
        <v>46106</v>
      </c>
      <c r="U419">
        <f t="shared" si="36"/>
        <v>325</v>
      </c>
      <c r="V419">
        <f t="shared" si="37"/>
        <v>225</v>
      </c>
      <c r="W419">
        <f t="shared" si="38"/>
        <v>100</v>
      </c>
      <c r="X419" s="5">
        <f t="shared" si="39"/>
        <v>0.30769230769230771</v>
      </c>
      <c r="Y419">
        <f t="shared" si="40"/>
        <v>2025</v>
      </c>
      <c r="Z419">
        <f t="shared" si="41"/>
        <v>2</v>
      </c>
    </row>
    <row r="420" spans="1:26" x14ac:dyDescent="0.3">
      <c r="A420" s="2">
        <v>1113</v>
      </c>
      <c r="B420" s="3">
        <v>45873</v>
      </c>
      <c r="C420" s="4" t="s">
        <v>108</v>
      </c>
      <c r="D420" s="4" t="s">
        <v>32</v>
      </c>
      <c r="E420" s="4" t="s">
        <v>109</v>
      </c>
      <c r="F420" s="4" t="s">
        <v>23</v>
      </c>
      <c r="G420" t="s">
        <v>82</v>
      </c>
      <c r="H420" s="2">
        <v>5</v>
      </c>
      <c r="I420" s="2">
        <v>90</v>
      </c>
      <c r="J420">
        <v>120</v>
      </c>
      <c r="K420">
        <v>0</v>
      </c>
      <c r="L420">
        <v>12</v>
      </c>
      <c r="M420" t="s">
        <v>35</v>
      </c>
      <c r="N420" t="s">
        <v>44</v>
      </c>
      <c r="O420">
        <v>48</v>
      </c>
      <c r="P420" t="s">
        <v>45</v>
      </c>
      <c r="Q420" t="s">
        <v>53</v>
      </c>
      <c r="R420" t="s">
        <v>54</v>
      </c>
      <c r="S420" t="s">
        <v>190</v>
      </c>
      <c r="T420" s="1">
        <v>46679</v>
      </c>
      <c r="U420">
        <f t="shared" si="36"/>
        <v>600</v>
      </c>
      <c r="V420">
        <f t="shared" si="37"/>
        <v>450</v>
      </c>
      <c r="W420">
        <f t="shared" si="38"/>
        <v>150</v>
      </c>
      <c r="X420" s="5">
        <f t="shared" si="39"/>
        <v>0.25</v>
      </c>
      <c r="Y420">
        <f t="shared" si="40"/>
        <v>2025</v>
      </c>
      <c r="Z420">
        <f t="shared" si="41"/>
        <v>8</v>
      </c>
    </row>
    <row r="421" spans="1:26" x14ac:dyDescent="0.3">
      <c r="A421" s="2">
        <v>1116</v>
      </c>
      <c r="B421" s="3">
        <v>46016</v>
      </c>
      <c r="C421" s="4" t="s">
        <v>61</v>
      </c>
      <c r="D421" s="4" t="s">
        <v>62</v>
      </c>
      <c r="E421" s="4" t="s">
        <v>63</v>
      </c>
      <c r="F421" s="4" t="s">
        <v>23</v>
      </c>
      <c r="G421" t="s">
        <v>64</v>
      </c>
      <c r="H421" s="2">
        <v>5</v>
      </c>
      <c r="I421" s="2">
        <v>12</v>
      </c>
      <c r="J421">
        <v>20</v>
      </c>
      <c r="K421">
        <v>10</v>
      </c>
      <c r="L421">
        <v>12</v>
      </c>
      <c r="M421" t="s">
        <v>35</v>
      </c>
      <c r="N421" t="s">
        <v>26</v>
      </c>
      <c r="O421">
        <v>42</v>
      </c>
      <c r="P421" t="s">
        <v>52</v>
      </c>
      <c r="Q421" t="s">
        <v>66</v>
      </c>
      <c r="R421" t="s">
        <v>86</v>
      </c>
      <c r="S421" t="s">
        <v>193</v>
      </c>
      <c r="T421" s="1">
        <v>46405</v>
      </c>
      <c r="U421">
        <f t="shared" si="36"/>
        <v>100</v>
      </c>
      <c r="V421">
        <f t="shared" si="37"/>
        <v>60</v>
      </c>
      <c r="W421">
        <f t="shared" si="38"/>
        <v>40</v>
      </c>
      <c r="X421" s="5">
        <f t="shared" si="39"/>
        <v>0.4</v>
      </c>
      <c r="Y421">
        <f t="shared" si="40"/>
        <v>2025</v>
      </c>
      <c r="Z421">
        <f t="shared" si="41"/>
        <v>12</v>
      </c>
    </row>
    <row r="422" spans="1:26" x14ac:dyDescent="0.3">
      <c r="A422" s="2">
        <v>1120</v>
      </c>
      <c r="B422" s="3">
        <v>46015</v>
      </c>
      <c r="C422" s="4" t="s">
        <v>20</v>
      </c>
      <c r="D422" s="4" t="s">
        <v>21</v>
      </c>
      <c r="E422" s="4" t="s">
        <v>22</v>
      </c>
      <c r="F422" s="4" t="s">
        <v>23</v>
      </c>
      <c r="G422" t="s">
        <v>24</v>
      </c>
      <c r="H422" s="2">
        <v>5</v>
      </c>
      <c r="I422" s="2">
        <v>60</v>
      </c>
      <c r="J422">
        <v>85</v>
      </c>
      <c r="K422">
        <v>0</v>
      </c>
      <c r="L422">
        <v>12</v>
      </c>
      <c r="M422" t="s">
        <v>43</v>
      </c>
      <c r="N422" t="s">
        <v>26</v>
      </c>
      <c r="O422">
        <v>50</v>
      </c>
      <c r="P422" t="s">
        <v>36</v>
      </c>
      <c r="Q422" t="s">
        <v>28</v>
      </c>
      <c r="R422" t="s">
        <v>54</v>
      </c>
      <c r="S422" t="s">
        <v>197</v>
      </c>
      <c r="T422" s="1">
        <v>46267</v>
      </c>
      <c r="U422">
        <f t="shared" si="36"/>
        <v>425</v>
      </c>
      <c r="V422">
        <f t="shared" si="37"/>
        <v>300</v>
      </c>
      <c r="W422">
        <f t="shared" si="38"/>
        <v>125</v>
      </c>
      <c r="X422" s="5">
        <f t="shared" si="39"/>
        <v>0.29411764705882354</v>
      </c>
      <c r="Y422">
        <f t="shared" si="40"/>
        <v>2025</v>
      </c>
      <c r="Z422">
        <f t="shared" si="41"/>
        <v>12</v>
      </c>
    </row>
    <row r="423" spans="1:26" x14ac:dyDescent="0.3">
      <c r="A423" s="2">
        <v>1123</v>
      </c>
      <c r="B423" s="3">
        <v>45956</v>
      </c>
      <c r="C423" s="4" t="s">
        <v>31</v>
      </c>
      <c r="D423" s="4" t="s">
        <v>32</v>
      </c>
      <c r="E423" s="4" t="s">
        <v>33</v>
      </c>
      <c r="F423" s="4" t="s">
        <v>23</v>
      </c>
      <c r="G423" t="s">
        <v>34</v>
      </c>
      <c r="H423" s="2">
        <v>5</v>
      </c>
      <c r="I423" s="2">
        <v>140</v>
      </c>
      <c r="J423">
        <v>180</v>
      </c>
      <c r="K423">
        <v>0</v>
      </c>
      <c r="L423">
        <v>12</v>
      </c>
      <c r="M423" t="s">
        <v>35</v>
      </c>
      <c r="N423" t="s">
        <v>44</v>
      </c>
      <c r="O423">
        <v>51</v>
      </c>
      <c r="P423" t="s">
        <v>27</v>
      </c>
      <c r="Q423" t="s">
        <v>59</v>
      </c>
      <c r="R423" t="s">
        <v>22</v>
      </c>
      <c r="S423" t="s">
        <v>200</v>
      </c>
      <c r="T423" s="1">
        <v>46759</v>
      </c>
      <c r="U423">
        <f t="shared" si="36"/>
        <v>900</v>
      </c>
      <c r="V423">
        <f t="shared" si="37"/>
        <v>700</v>
      </c>
      <c r="W423">
        <f t="shared" si="38"/>
        <v>200</v>
      </c>
      <c r="X423" s="5">
        <f t="shared" si="39"/>
        <v>0.22222222222222221</v>
      </c>
      <c r="Y423">
        <f t="shared" si="40"/>
        <v>2025</v>
      </c>
      <c r="Z423">
        <f t="shared" si="41"/>
        <v>10</v>
      </c>
    </row>
    <row r="424" spans="1:26" x14ac:dyDescent="0.3">
      <c r="A424" s="2">
        <v>1124</v>
      </c>
      <c r="B424" s="3">
        <v>45668</v>
      </c>
      <c r="C424" s="4" t="s">
        <v>98</v>
      </c>
      <c r="D424" s="4" t="s">
        <v>41</v>
      </c>
      <c r="E424" s="4" t="s">
        <v>33</v>
      </c>
      <c r="F424" s="4" t="s">
        <v>23</v>
      </c>
      <c r="G424" t="s">
        <v>82</v>
      </c>
      <c r="H424" s="2">
        <v>5</v>
      </c>
      <c r="I424" s="2">
        <v>22</v>
      </c>
      <c r="J424">
        <v>32</v>
      </c>
      <c r="K424">
        <v>10</v>
      </c>
      <c r="L424">
        <v>12</v>
      </c>
      <c r="M424" t="s">
        <v>25</v>
      </c>
      <c r="N424" t="s">
        <v>44</v>
      </c>
      <c r="O424">
        <v>71</v>
      </c>
      <c r="P424" t="s">
        <v>27</v>
      </c>
      <c r="Q424" t="s">
        <v>53</v>
      </c>
      <c r="R424" t="s">
        <v>86</v>
      </c>
      <c r="S424" t="s">
        <v>201</v>
      </c>
      <c r="T424" s="1">
        <v>46428</v>
      </c>
      <c r="U424">
        <f t="shared" si="36"/>
        <v>160</v>
      </c>
      <c r="V424">
        <f t="shared" si="37"/>
        <v>110</v>
      </c>
      <c r="W424">
        <f t="shared" si="38"/>
        <v>50</v>
      </c>
      <c r="X424" s="5">
        <f t="shared" si="39"/>
        <v>0.3125</v>
      </c>
      <c r="Y424">
        <f t="shared" si="40"/>
        <v>2025</v>
      </c>
      <c r="Z424">
        <f t="shared" si="41"/>
        <v>1</v>
      </c>
    </row>
    <row r="425" spans="1:26" x14ac:dyDescent="0.3">
      <c r="A425" s="2">
        <v>1129</v>
      </c>
      <c r="B425" s="3">
        <v>45723</v>
      </c>
      <c r="C425" s="4" t="s">
        <v>61</v>
      </c>
      <c r="D425" s="4" t="s">
        <v>62</v>
      </c>
      <c r="E425" s="4" t="s">
        <v>63</v>
      </c>
      <c r="F425" s="4" t="s">
        <v>23</v>
      </c>
      <c r="G425" t="s">
        <v>64</v>
      </c>
      <c r="H425" s="2">
        <v>5</v>
      </c>
      <c r="I425" s="2">
        <v>12</v>
      </c>
      <c r="J425">
        <v>20</v>
      </c>
      <c r="K425">
        <v>10</v>
      </c>
      <c r="L425">
        <v>12</v>
      </c>
      <c r="M425" t="s">
        <v>43</v>
      </c>
      <c r="N425" t="s">
        <v>44</v>
      </c>
      <c r="O425">
        <v>63</v>
      </c>
      <c r="P425" t="s">
        <v>52</v>
      </c>
      <c r="Q425" t="s">
        <v>37</v>
      </c>
      <c r="R425" t="s">
        <v>38</v>
      </c>
      <c r="S425" t="s">
        <v>206</v>
      </c>
      <c r="T425" s="1">
        <v>46131</v>
      </c>
      <c r="U425">
        <f t="shared" si="36"/>
        <v>100</v>
      </c>
      <c r="V425">
        <f t="shared" si="37"/>
        <v>60</v>
      </c>
      <c r="W425">
        <f t="shared" si="38"/>
        <v>40</v>
      </c>
      <c r="X425" s="5">
        <f t="shared" si="39"/>
        <v>0.4</v>
      </c>
      <c r="Y425">
        <f t="shared" si="40"/>
        <v>2025</v>
      </c>
      <c r="Z425">
        <f t="shared" si="41"/>
        <v>3</v>
      </c>
    </row>
    <row r="426" spans="1:26" x14ac:dyDescent="0.3">
      <c r="A426" s="2">
        <v>1135</v>
      </c>
      <c r="B426" s="3">
        <v>45825</v>
      </c>
      <c r="C426" s="4" t="s">
        <v>79</v>
      </c>
      <c r="D426" s="4" t="s">
        <v>80</v>
      </c>
      <c r="E426" s="4" t="s">
        <v>81</v>
      </c>
      <c r="F426" s="4" t="s">
        <v>23</v>
      </c>
      <c r="G426" t="s">
        <v>82</v>
      </c>
      <c r="H426" s="2">
        <v>5</v>
      </c>
      <c r="I426" s="2">
        <v>80</v>
      </c>
      <c r="J426">
        <v>110</v>
      </c>
      <c r="K426">
        <v>10</v>
      </c>
      <c r="L426">
        <v>12</v>
      </c>
      <c r="M426" t="s">
        <v>43</v>
      </c>
      <c r="N426" t="s">
        <v>44</v>
      </c>
      <c r="O426">
        <v>26</v>
      </c>
      <c r="P426" t="s">
        <v>27</v>
      </c>
      <c r="Q426" t="s">
        <v>53</v>
      </c>
      <c r="R426" t="s">
        <v>38</v>
      </c>
      <c r="S426" t="s">
        <v>212</v>
      </c>
      <c r="T426" s="1">
        <v>46651</v>
      </c>
      <c r="U426">
        <f t="shared" si="36"/>
        <v>550</v>
      </c>
      <c r="V426">
        <f t="shared" si="37"/>
        <v>400</v>
      </c>
      <c r="W426">
        <f t="shared" si="38"/>
        <v>150</v>
      </c>
      <c r="X426" s="5">
        <f t="shared" si="39"/>
        <v>0.27272727272727271</v>
      </c>
      <c r="Y426">
        <f t="shared" si="40"/>
        <v>2025</v>
      </c>
      <c r="Z426">
        <f t="shared" si="41"/>
        <v>6</v>
      </c>
    </row>
    <row r="427" spans="1:26" x14ac:dyDescent="0.3">
      <c r="A427" s="2">
        <v>1141</v>
      </c>
      <c r="B427" s="3">
        <v>45806</v>
      </c>
      <c r="C427" s="4" t="s">
        <v>105</v>
      </c>
      <c r="D427" s="4" t="s">
        <v>106</v>
      </c>
      <c r="E427" s="4" t="s">
        <v>22</v>
      </c>
      <c r="F427" s="4" t="s">
        <v>23</v>
      </c>
      <c r="G427" t="s">
        <v>51</v>
      </c>
      <c r="H427" s="2">
        <v>5</v>
      </c>
      <c r="I427" s="2">
        <v>95</v>
      </c>
      <c r="J427">
        <v>125</v>
      </c>
      <c r="K427">
        <v>10</v>
      </c>
      <c r="L427">
        <v>12</v>
      </c>
      <c r="M427" t="s">
        <v>35</v>
      </c>
      <c r="N427" t="s">
        <v>44</v>
      </c>
      <c r="O427">
        <v>38</v>
      </c>
      <c r="P427" t="s">
        <v>36</v>
      </c>
      <c r="Q427" t="s">
        <v>28</v>
      </c>
      <c r="R427" t="s">
        <v>54</v>
      </c>
      <c r="S427" t="s">
        <v>218</v>
      </c>
      <c r="T427" s="1">
        <v>46358</v>
      </c>
      <c r="U427">
        <f t="shared" si="36"/>
        <v>625</v>
      </c>
      <c r="V427">
        <f t="shared" si="37"/>
        <v>475</v>
      </c>
      <c r="W427">
        <f t="shared" si="38"/>
        <v>150</v>
      </c>
      <c r="X427" s="5">
        <f t="shared" si="39"/>
        <v>0.24</v>
      </c>
      <c r="Y427">
        <f t="shared" si="40"/>
        <v>2025</v>
      </c>
      <c r="Z427">
        <f t="shared" si="41"/>
        <v>5</v>
      </c>
    </row>
    <row r="428" spans="1:26" x14ac:dyDescent="0.3">
      <c r="A428" s="2">
        <v>1142</v>
      </c>
      <c r="B428" s="3">
        <v>46000</v>
      </c>
      <c r="C428" s="4" t="s">
        <v>134</v>
      </c>
      <c r="D428" s="4" t="s">
        <v>21</v>
      </c>
      <c r="E428" s="4" t="s">
        <v>29</v>
      </c>
      <c r="F428" s="4" t="s">
        <v>50</v>
      </c>
      <c r="G428" t="s">
        <v>24</v>
      </c>
      <c r="H428" s="2">
        <v>5</v>
      </c>
      <c r="I428" s="2">
        <v>70</v>
      </c>
      <c r="J428">
        <v>95</v>
      </c>
      <c r="K428">
        <v>10</v>
      </c>
      <c r="L428">
        <v>12</v>
      </c>
      <c r="M428" t="s">
        <v>35</v>
      </c>
      <c r="N428" t="s">
        <v>44</v>
      </c>
      <c r="O428">
        <v>43</v>
      </c>
      <c r="P428" t="s">
        <v>52</v>
      </c>
      <c r="Q428" t="s">
        <v>37</v>
      </c>
      <c r="R428" t="s">
        <v>29</v>
      </c>
      <c r="S428" t="s">
        <v>219</v>
      </c>
      <c r="T428" s="1">
        <v>46773</v>
      </c>
      <c r="U428">
        <f t="shared" si="36"/>
        <v>475</v>
      </c>
      <c r="V428">
        <f t="shared" si="37"/>
        <v>350</v>
      </c>
      <c r="W428">
        <f t="shared" si="38"/>
        <v>125</v>
      </c>
      <c r="X428" s="5">
        <f t="shared" si="39"/>
        <v>0.26315789473684209</v>
      </c>
      <c r="Y428">
        <f t="shared" si="40"/>
        <v>2025</v>
      </c>
      <c r="Z428">
        <f t="shared" si="41"/>
        <v>12</v>
      </c>
    </row>
    <row r="429" spans="1:26" x14ac:dyDescent="0.3">
      <c r="A429" s="2">
        <v>1148</v>
      </c>
      <c r="B429" s="3">
        <v>45825</v>
      </c>
      <c r="C429" s="4" t="s">
        <v>108</v>
      </c>
      <c r="D429" s="4" t="s">
        <v>32</v>
      </c>
      <c r="E429" s="4" t="s">
        <v>109</v>
      </c>
      <c r="F429" s="4" t="s">
        <v>23</v>
      </c>
      <c r="G429" t="s">
        <v>82</v>
      </c>
      <c r="H429" s="2">
        <v>5</v>
      </c>
      <c r="I429" s="2">
        <v>90</v>
      </c>
      <c r="J429">
        <v>120</v>
      </c>
      <c r="K429">
        <v>0</v>
      </c>
      <c r="L429">
        <v>12</v>
      </c>
      <c r="M429" t="s">
        <v>25</v>
      </c>
      <c r="N429" t="s">
        <v>26</v>
      </c>
      <c r="O429">
        <v>27</v>
      </c>
      <c r="P429" t="s">
        <v>52</v>
      </c>
      <c r="Q429" t="s">
        <v>28</v>
      </c>
      <c r="R429" t="s">
        <v>22</v>
      </c>
      <c r="S429" t="s">
        <v>224</v>
      </c>
      <c r="T429" s="1">
        <v>46097</v>
      </c>
      <c r="U429">
        <f t="shared" si="36"/>
        <v>600</v>
      </c>
      <c r="V429">
        <f t="shared" si="37"/>
        <v>450</v>
      </c>
      <c r="W429">
        <f t="shared" si="38"/>
        <v>150</v>
      </c>
      <c r="X429" s="5">
        <f t="shared" si="39"/>
        <v>0.25</v>
      </c>
      <c r="Y429">
        <f t="shared" si="40"/>
        <v>2025</v>
      </c>
      <c r="Z429">
        <f t="shared" si="41"/>
        <v>6</v>
      </c>
    </row>
    <row r="430" spans="1:26" x14ac:dyDescent="0.3">
      <c r="A430" s="2">
        <v>1157</v>
      </c>
      <c r="B430" s="3">
        <v>45892</v>
      </c>
      <c r="C430" s="4" t="s">
        <v>92</v>
      </c>
      <c r="D430" s="4" t="s">
        <v>48</v>
      </c>
      <c r="E430" s="4" t="s">
        <v>54</v>
      </c>
      <c r="F430" s="4" t="s">
        <v>23</v>
      </c>
      <c r="G430" t="s">
        <v>82</v>
      </c>
      <c r="H430" s="2">
        <v>5</v>
      </c>
      <c r="I430" s="2">
        <v>18</v>
      </c>
      <c r="J430">
        <v>28</v>
      </c>
      <c r="K430">
        <v>5</v>
      </c>
      <c r="L430">
        <v>12</v>
      </c>
      <c r="M430" t="s">
        <v>25</v>
      </c>
      <c r="N430" t="s">
        <v>26</v>
      </c>
      <c r="O430">
        <v>18</v>
      </c>
      <c r="P430" t="s">
        <v>27</v>
      </c>
      <c r="Q430" t="s">
        <v>66</v>
      </c>
      <c r="R430" t="s">
        <v>38</v>
      </c>
      <c r="S430" t="s">
        <v>233</v>
      </c>
      <c r="T430" s="1">
        <v>46741</v>
      </c>
      <c r="U430">
        <f t="shared" si="36"/>
        <v>140</v>
      </c>
      <c r="V430">
        <f t="shared" si="37"/>
        <v>90</v>
      </c>
      <c r="W430">
        <f t="shared" si="38"/>
        <v>50</v>
      </c>
      <c r="X430" s="5">
        <f t="shared" si="39"/>
        <v>0.35714285714285715</v>
      </c>
      <c r="Y430">
        <f t="shared" si="40"/>
        <v>2025</v>
      </c>
      <c r="Z430">
        <f t="shared" si="41"/>
        <v>8</v>
      </c>
    </row>
    <row r="431" spans="1:26" x14ac:dyDescent="0.3">
      <c r="A431" s="2">
        <v>1162</v>
      </c>
      <c r="B431" s="3">
        <v>45854</v>
      </c>
      <c r="C431" s="4" t="s">
        <v>56</v>
      </c>
      <c r="D431" s="4" t="s">
        <v>57</v>
      </c>
      <c r="E431" s="4" t="s">
        <v>58</v>
      </c>
      <c r="F431" s="4" t="s">
        <v>23</v>
      </c>
      <c r="G431" t="s">
        <v>24</v>
      </c>
      <c r="H431" s="2">
        <v>5</v>
      </c>
      <c r="I431" s="2">
        <v>75</v>
      </c>
      <c r="J431">
        <v>100</v>
      </c>
      <c r="K431">
        <v>0</v>
      </c>
      <c r="L431">
        <v>12</v>
      </c>
      <c r="M431" t="s">
        <v>25</v>
      </c>
      <c r="N431" t="s">
        <v>26</v>
      </c>
      <c r="O431">
        <v>31</v>
      </c>
      <c r="P431" t="s">
        <v>45</v>
      </c>
      <c r="Q431" t="s">
        <v>53</v>
      </c>
      <c r="R431" t="s">
        <v>29</v>
      </c>
      <c r="S431" t="s">
        <v>238</v>
      </c>
      <c r="T431" s="1">
        <v>46438</v>
      </c>
      <c r="U431">
        <f t="shared" si="36"/>
        <v>500</v>
      </c>
      <c r="V431">
        <f t="shared" si="37"/>
        <v>375</v>
      </c>
      <c r="W431">
        <f t="shared" si="38"/>
        <v>125</v>
      </c>
      <c r="X431" s="5">
        <f t="shared" si="39"/>
        <v>0.25</v>
      </c>
      <c r="Y431">
        <f t="shared" si="40"/>
        <v>2025</v>
      </c>
      <c r="Z431">
        <f t="shared" si="41"/>
        <v>7</v>
      </c>
    </row>
    <row r="432" spans="1:26" x14ac:dyDescent="0.3">
      <c r="A432" s="2">
        <v>1165</v>
      </c>
      <c r="B432" s="3">
        <v>45824</v>
      </c>
      <c r="C432" s="4" t="s">
        <v>40</v>
      </c>
      <c r="D432" s="4" t="s">
        <v>41</v>
      </c>
      <c r="E432" s="4" t="s">
        <v>33</v>
      </c>
      <c r="F432" s="4" t="s">
        <v>23</v>
      </c>
      <c r="G432" t="s">
        <v>42</v>
      </c>
      <c r="H432" s="2">
        <v>5</v>
      </c>
      <c r="I432" s="2">
        <v>24</v>
      </c>
      <c r="J432">
        <v>34</v>
      </c>
      <c r="K432">
        <v>5</v>
      </c>
      <c r="L432">
        <v>12</v>
      </c>
      <c r="M432" t="s">
        <v>43</v>
      </c>
      <c r="N432" t="s">
        <v>26</v>
      </c>
      <c r="O432">
        <v>61</v>
      </c>
      <c r="P432" t="s">
        <v>27</v>
      </c>
      <c r="Q432" t="s">
        <v>53</v>
      </c>
      <c r="R432" t="s">
        <v>29</v>
      </c>
      <c r="S432" t="s">
        <v>241</v>
      </c>
      <c r="T432" s="1">
        <v>46661</v>
      </c>
      <c r="U432">
        <f t="shared" si="36"/>
        <v>170</v>
      </c>
      <c r="V432">
        <f t="shared" si="37"/>
        <v>120</v>
      </c>
      <c r="W432">
        <f t="shared" si="38"/>
        <v>50</v>
      </c>
      <c r="X432" s="5">
        <f t="shared" si="39"/>
        <v>0.29411764705882354</v>
      </c>
      <c r="Y432">
        <f t="shared" si="40"/>
        <v>2025</v>
      </c>
      <c r="Z432">
        <f t="shared" si="41"/>
        <v>6</v>
      </c>
    </row>
    <row r="433" spans="1:26" x14ac:dyDescent="0.3">
      <c r="A433" s="2">
        <v>1166</v>
      </c>
      <c r="B433" s="3">
        <v>45719</v>
      </c>
      <c r="C433" s="4" t="s">
        <v>134</v>
      </c>
      <c r="D433" s="4" t="s">
        <v>21</v>
      </c>
      <c r="E433" s="4" t="s">
        <v>29</v>
      </c>
      <c r="F433" s="4" t="s">
        <v>50</v>
      </c>
      <c r="G433" t="s">
        <v>24</v>
      </c>
      <c r="H433" s="2">
        <v>5</v>
      </c>
      <c r="I433" s="2">
        <v>70</v>
      </c>
      <c r="J433">
        <v>95</v>
      </c>
      <c r="K433">
        <v>5</v>
      </c>
      <c r="L433">
        <v>12</v>
      </c>
      <c r="M433" t="s">
        <v>43</v>
      </c>
      <c r="N433" t="s">
        <v>44</v>
      </c>
      <c r="O433">
        <v>60</v>
      </c>
      <c r="P433" t="s">
        <v>45</v>
      </c>
      <c r="Q433" t="s">
        <v>59</v>
      </c>
      <c r="R433" t="s">
        <v>86</v>
      </c>
      <c r="S433" t="s">
        <v>242</v>
      </c>
      <c r="T433" s="1">
        <v>46214</v>
      </c>
      <c r="U433">
        <f t="shared" si="36"/>
        <v>475</v>
      </c>
      <c r="V433">
        <f t="shared" si="37"/>
        <v>350</v>
      </c>
      <c r="W433">
        <f t="shared" si="38"/>
        <v>125</v>
      </c>
      <c r="X433" s="5">
        <f t="shared" si="39"/>
        <v>0.26315789473684209</v>
      </c>
      <c r="Y433">
        <f t="shared" si="40"/>
        <v>2025</v>
      </c>
      <c r="Z433">
        <f t="shared" si="41"/>
        <v>3</v>
      </c>
    </row>
    <row r="434" spans="1:26" x14ac:dyDescent="0.3">
      <c r="A434" s="2">
        <v>1168</v>
      </c>
      <c r="B434" s="3">
        <v>46017</v>
      </c>
      <c r="C434" s="4" t="s">
        <v>134</v>
      </c>
      <c r="D434" s="4" t="s">
        <v>21</v>
      </c>
      <c r="E434" s="4" t="s">
        <v>29</v>
      </c>
      <c r="F434" s="4" t="s">
        <v>50</v>
      </c>
      <c r="G434" t="s">
        <v>24</v>
      </c>
      <c r="H434" s="2">
        <v>5</v>
      </c>
      <c r="I434" s="2">
        <v>70</v>
      </c>
      <c r="J434">
        <v>95</v>
      </c>
      <c r="K434">
        <v>0</v>
      </c>
      <c r="L434">
        <v>12</v>
      </c>
      <c r="M434" t="s">
        <v>25</v>
      </c>
      <c r="N434" t="s">
        <v>44</v>
      </c>
      <c r="O434">
        <v>51</v>
      </c>
      <c r="P434" t="s">
        <v>27</v>
      </c>
      <c r="Q434" t="s">
        <v>37</v>
      </c>
      <c r="R434" t="s">
        <v>86</v>
      </c>
      <c r="S434" t="s">
        <v>244</v>
      </c>
      <c r="T434" s="1">
        <v>46864</v>
      </c>
      <c r="U434">
        <f t="shared" si="36"/>
        <v>475</v>
      </c>
      <c r="V434">
        <f t="shared" si="37"/>
        <v>350</v>
      </c>
      <c r="W434">
        <f t="shared" si="38"/>
        <v>125</v>
      </c>
      <c r="X434" s="5">
        <f t="shared" si="39"/>
        <v>0.26315789473684209</v>
      </c>
      <c r="Y434">
        <f t="shared" si="40"/>
        <v>2025</v>
      </c>
      <c r="Z434">
        <f t="shared" si="41"/>
        <v>12</v>
      </c>
    </row>
    <row r="435" spans="1:26" x14ac:dyDescent="0.3">
      <c r="A435" s="2">
        <v>1171</v>
      </c>
      <c r="B435" s="3">
        <v>45841</v>
      </c>
      <c r="C435" s="4" t="s">
        <v>31</v>
      </c>
      <c r="D435" s="4" t="s">
        <v>32</v>
      </c>
      <c r="E435" s="4" t="s">
        <v>33</v>
      </c>
      <c r="F435" s="4" t="s">
        <v>23</v>
      </c>
      <c r="G435" t="s">
        <v>34</v>
      </c>
      <c r="H435" s="2">
        <v>5</v>
      </c>
      <c r="I435" s="2">
        <v>140</v>
      </c>
      <c r="J435">
        <v>180</v>
      </c>
      <c r="K435">
        <v>0</v>
      </c>
      <c r="L435">
        <v>12</v>
      </c>
      <c r="M435" t="s">
        <v>35</v>
      </c>
      <c r="N435" t="s">
        <v>44</v>
      </c>
      <c r="O435">
        <v>35</v>
      </c>
      <c r="P435" t="s">
        <v>52</v>
      </c>
      <c r="Q435" t="s">
        <v>28</v>
      </c>
      <c r="R435" t="s">
        <v>38</v>
      </c>
      <c r="S435" t="s">
        <v>247</v>
      </c>
      <c r="T435" s="1">
        <v>46578</v>
      </c>
      <c r="U435">
        <f t="shared" si="36"/>
        <v>900</v>
      </c>
      <c r="V435">
        <f t="shared" si="37"/>
        <v>700</v>
      </c>
      <c r="W435">
        <f t="shared" si="38"/>
        <v>200</v>
      </c>
      <c r="X435" s="5">
        <f t="shared" si="39"/>
        <v>0.22222222222222221</v>
      </c>
      <c r="Y435">
        <f t="shared" si="40"/>
        <v>2025</v>
      </c>
      <c r="Z435">
        <f t="shared" si="41"/>
        <v>7</v>
      </c>
    </row>
    <row r="436" spans="1:26" x14ac:dyDescent="0.3">
      <c r="A436" s="2">
        <v>1178</v>
      </c>
      <c r="B436" s="3">
        <v>45780</v>
      </c>
      <c r="C436" s="4" t="s">
        <v>47</v>
      </c>
      <c r="D436" s="4" t="s">
        <v>48</v>
      </c>
      <c r="E436" s="4" t="s">
        <v>49</v>
      </c>
      <c r="F436" s="4" t="s">
        <v>50</v>
      </c>
      <c r="G436" t="s">
        <v>51</v>
      </c>
      <c r="H436" s="2">
        <v>5</v>
      </c>
      <c r="I436" s="2">
        <v>35</v>
      </c>
      <c r="J436">
        <v>50</v>
      </c>
      <c r="K436">
        <v>10</v>
      </c>
      <c r="L436">
        <v>12</v>
      </c>
      <c r="M436" t="s">
        <v>25</v>
      </c>
      <c r="N436" t="s">
        <v>44</v>
      </c>
      <c r="O436">
        <v>50</v>
      </c>
      <c r="P436" t="s">
        <v>27</v>
      </c>
      <c r="Q436" t="s">
        <v>28</v>
      </c>
      <c r="R436" t="s">
        <v>22</v>
      </c>
      <c r="S436" t="s">
        <v>254</v>
      </c>
      <c r="T436" s="1">
        <v>46116</v>
      </c>
      <c r="U436">
        <f t="shared" si="36"/>
        <v>250</v>
      </c>
      <c r="V436">
        <f t="shared" si="37"/>
        <v>175</v>
      </c>
      <c r="W436">
        <f t="shared" si="38"/>
        <v>75</v>
      </c>
      <c r="X436" s="5">
        <f t="shared" si="39"/>
        <v>0.3</v>
      </c>
      <c r="Y436">
        <f t="shared" si="40"/>
        <v>2025</v>
      </c>
      <c r="Z436">
        <f t="shared" si="41"/>
        <v>5</v>
      </c>
    </row>
    <row r="437" spans="1:26" x14ac:dyDescent="0.3">
      <c r="A437" s="2">
        <v>1181</v>
      </c>
      <c r="B437" s="3">
        <v>45663</v>
      </c>
      <c r="C437" s="4" t="s">
        <v>92</v>
      </c>
      <c r="D437" s="4" t="s">
        <v>48</v>
      </c>
      <c r="E437" s="4" t="s">
        <v>54</v>
      </c>
      <c r="F437" s="4" t="s">
        <v>23</v>
      </c>
      <c r="G437" t="s">
        <v>82</v>
      </c>
      <c r="H437" s="2">
        <v>5</v>
      </c>
      <c r="I437" s="2">
        <v>18</v>
      </c>
      <c r="J437">
        <v>28</v>
      </c>
      <c r="K437">
        <v>0</v>
      </c>
      <c r="L437">
        <v>12</v>
      </c>
      <c r="M437" t="s">
        <v>25</v>
      </c>
      <c r="N437" t="s">
        <v>44</v>
      </c>
      <c r="O437">
        <v>39</v>
      </c>
      <c r="P437" t="s">
        <v>52</v>
      </c>
      <c r="Q437" t="s">
        <v>66</v>
      </c>
      <c r="R437" t="s">
        <v>22</v>
      </c>
      <c r="S437" t="s">
        <v>257</v>
      </c>
      <c r="T437" s="1">
        <v>46534</v>
      </c>
      <c r="U437">
        <f t="shared" si="36"/>
        <v>140</v>
      </c>
      <c r="V437">
        <f t="shared" si="37"/>
        <v>90</v>
      </c>
      <c r="W437">
        <f t="shared" si="38"/>
        <v>50</v>
      </c>
      <c r="X437" s="5">
        <f t="shared" si="39"/>
        <v>0.35714285714285715</v>
      </c>
      <c r="Y437">
        <f t="shared" si="40"/>
        <v>2025</v>
      </c>
      <c r="Z437">
        <f t="shared" si="41"/>
        <v>1</v>
      </c>
    </row>
    <row r="438" spans="1:26" x14ac:dyDescent="0.3">
      <c r="A438" s="2">
        <v>1187</v>
      </c>
      <c r="B438" s="3">
        <v>45898</v>
      </c>
      <c r="C438" s="4" t="s">
        <v>75</v>
      </c>
      <c r="D438" s="4" t="s">
        <v>41</v>
      </c>
      <c r="E438" s="4" t="s">
        <v>76</v>
      </c>
      <c r="F438" s="4" t="s">
        <v>23</v>
      </c>
      <c r="G438" t="s">
        <v>42</v>
      </c>
      <c r="H438" s="2">
        <v>5</v>
      </c>
      <c r="I438" s="2">
        <v>25</v>
      </c>
      <c r="J438">
        <v>35</v>
      </c>
      <c r="K438">
        <v>10</v>
      </c>
      <c r="L438">
        <v>12</v>
      </c>
      <c r="M438" t="s">
        <v>43</v>
      </c>
      <c r="N438" t="s">
        <v>26</v>
      </c>
      <c r="O438">
        <v>44</v>
      </c>
      <c r="P438" t="s">
        <v>45</v>
      </c>
      <c r="Q438" t="s">
        <v>59</v>
      </c>
      <c r="R438" t="s">
        <v>86</v>
      </c>
      <c r="S438" t="s">
        <v>263</v>
      </c>
      <c r="T438" s="1">
        <v>46447</v>
      </c>
      <c r="U438">
        <f t="shared" si="36"/>
        <v>175</v>
      </c>
      <c r="V438">
        <f t="shared" si="37"/>
        <v>125</v>
      </c>
      <c r="W438">
        <f t="shared" si="38"/>
        <v>50</v>
      </c>
      <c r="X438" s="5">
        <f t="shared" si="39"/>
        <v>0.2857142857142857</v>
      </c>
      <c r="Y438">
        <f t="shared" si="40"/>
        <v>2025</v>
      </c>
      <c r="Z438">
        <f t="shared" si="41"/>
        <v>8</v>
      </c>
    </row>
    <row r="439" spans="1:26" x14ac:dyDescent="0.3">
      <c r="A439" s="2">
        <v>1196</v>
      </c>
      <c r="B439" s="3">
        <v>45932</v>
      </c>
      <c r="C439" s="4" t="s">
        <v>134</v>
      </c>
      <c r="D439" s="4" t="s">
        <v>21</v>
      </c>
      <c r="E439" s="4" t="s">
        <v>29</v>
      </c>
      <c r="F439" s="4" t="s">
        <v>50</v>
      </c>
      <c r="G439" t="s">
        <v>24</v>
      </c>
      <c r="H439" s="2">
        <v>5</v>
      </c>
      <c r="I439" s="2">
        <v>70</v>
      </c>
      <c r="J439">
        <v>95</v>
      </c>
      <c r="K439">
        <v>10</v>
      </c>
      <c r="L439">
        <v>12</v>
      </c>
      <c r="M439" t="s">
        <v>25</v>
      </c>
      <c r="N439" t="s">
        <v>44</v>
      </c>
      <c r="O439">
        <v>74</v>
      </c>
      <c r="P439" t="s">
        <v>45</v>
      </c>
      <c r="Q439" t="s">
        <v>28</v>
      </c>
      <c r="R439" t="s">
        <v>29</v>
      </c>
      <c r="S439" t="s">
        <v>272</v>
      </c>
      <c r="T439" s="1">
        <v>46630</v>
      </c>
      <c r="U439">
        <f t="shared" si="36"/>
        <v>475</v>
      </c>
      <c r="V439">
        <f t="shared" si="37"/>
        <v>350</v>
      </c>
      <c r="W439">
        <f t="shared" si="38"/>
        <v>125</v>
      </c>
      <c r="X439" s="5">
        <f t="shared" si="39"/>
        <v>0.26315789473684209</v>
      </c>
      <c r="Y439">
        <f t="shared" si="40"/>
        <v>2025</v>
      </c>
      <c r="Z439">
        <f t="shared" si="41"/>
        <v>10</v>
      </c>
    </row>
    <row r="440" spans="1:26" x14ac:dyDescent="0.3">
      <c r="A440" s="2">
        <v>1198</v>
      </c>
      <c r="B440" s="3">
        <v>45975</v>
      </c>
      <c r="C440" s="4" t="s">
        <v>47</v>
      </c>
      <c r="D440" s="4" t="s">
        <v>48</v>
      </c>
      <c r="E440" s="4" t="s">
        <v>49</v>
      </c>
      <c r="F440" s="4" t="s">
        <v>50</v>
      </c>
      <c r="G440" t="s">
        <v>51</v>
      </c>
      <c r="H440" s="2">
        <v>5</v>
      </c>
      <c r="I440" s="2">
        <v>35</v>
      </c>
      <c r="J440">
        <v>50</v>
      </c>
      <c r="K440">
        <v>0</v>
      </c>
      <c r="L440">
        <v>12</v>
      </c>
      <c r="M440" t="s">
        <v>43</v>
      </c>
      <c r="N440" t="s">
        <v>26</v>
      </c>
      <c r="O440">
        <v>41</v>
      </c>
      <c r="P440" t="s">
        <v>52</v>
      </c>
      <c r="Q440" t="s">
        <v>66</v>
      </c>
      <c r="R440" t="s">
        <v>54</v>
      </c>
      <c r="S440" t="s">
        <v>274</v>
      </c>
      <c r="T440" s="1">
        <v>46525</v>
      </c>
      <c r="U440">
        <f t="shared" si="36"/>
        <v>250</v>
      </c>
      <c r="V440">
        <f t="shared" si="37"/>
        <v>175</v>
      </c>
      <c r="W440">
        <f t="shared" si="38"/>
        <v>75</v>
      </c>
      <c r="X440" s="5">
        <f t="shared" si="39"/>
        <v>0.3</v>
      </c>
      <c r="Y440">
        <f t="shared" si="40"/>
        <v>2025</v>
      </c>
      <c r="Z440">
        <f t="shared" si="41"/>
        <v>11</v>
      </c>
    </row>
    <row r="441" spans="1:26" x14ac:dyDescent="0.3">
      <c r="A441" s="2">
        <v>1203</v>
      </c>
      <c r="B441" s="3">
        <v>46001</v>
      </c>
      <c r="C441" s="4" t="s">
        <v>75</v>
      </c>
      <c r="D441" s="4" t="s">
        <v>41</v>
      </c>
      <c r="E441" s="4" t="s">
        <v>76</v>
      </c>
      <c r="F441" s="4" t="s">
        <v>23</v>
      </c>
      <c r="G441" t="s">
        <v>42</v>
      </c>
      <c r="H441" s="2">
        <v>5</v>
      </c>
      <c r="I441" s="2">
        <v>25</v>
      </c>
      <c r="J441">
        <v>35</v>
      </c>
      <c r="K441">
        <v>0</v>
      </c>
      <c r="L441">
        <v>12</v>
      </c>
      <c r="M441" t="s">
        <v>43</v>
      </c>
      <c r="N441" t="s">
        <v>26</v>
      </c>
      <c r="O441">
        <v>60</v>
      </c>
      <c r="P441" t="s">
        <v>52</v>
      </c>
      <c r="Q441" t="s">
        <v>53</v>
      </c>
      <c r="R441" t="s">
        <v>22</v>
      </c>
      <c r="S441" t="s">
        <v>279</v>
      </c>
      <c r="T441" s="1">
        <v>46350</v>
      </c>
      <c r="U441">
        <f t="shared" si="36"/>
        <v>175</v>
      </c>
      <c r="V441">
        <f t="shared" si="37"/>
        <v>125</v>
      </c>
      <c r="W441">
        <f t="shared" si="38"/>
        <v>50</v>
      </c>
      <c r="X441" s="5">
        <f t="shared" si="39"/>
        <v>0.2857142857142857</v>
      </c>
      <c r="Y441">
        <f t="shared" si="40"/>
        <v>2025</v>
      </c>
      <c r="Z441">
        <f t="shared" si="41"/>
        <v>12</v>
      </c>
    </row>
    <row r="442" spans="1:26" x14ac:dyDescent="0.3">
      <c r="A442" s="2">
        <v>1205</v>
      </c>
      <c r="B442" s="3">
        <v>45886</v>
      </c>
      <c r="C442" s="4" t="s">
        <v>47</v>
      </c>
      <c r="D442" s="4" t="s">
        <v>48</v>
      </c>
      <c r="E442" s="4" t="s">
        <v>49</v>
      </c>
      <c r="F442" s="4" t="s">
        <v>50</v>
      </c>
      <c r="G442" t="s">
        <v>51</v>
      </c>
      <c r="H442" s="2">
        <v>5</v>
      </c>
      <c r="I442" s="2">
        <v>35</v>
      </c>
      <c r="J442">
        <v>50</v>
      </c>
      <c r="K442">
        <v>10</v>
      </c>
      <c r="L442">
        <v>12</v>
      </c>
      <c r="M442" t="s">
        <v>25</v>
      </c>
      <c r="N442" t="s">
        <v>26</v>
      </c>
      <c r="O442">
        <v>60</v>
      </c>
      <c r="P442" t="s">
        <v>27</v>
      </c>
      <c r="Q442" t="s">
        <v>53</v>
      </c>
      <c r="R442" t="s">
        <v>29</v>
      </c>
      <c r="S442" t="s">
        <v>281</v>
      </c>
      <c r="T442" s="1">
        <v>46379</v>
      </c>
      <c r="U442">
        <f t="shared" si="36"/>
        <v>250</v>
      </c>
      <c r="V442">
        <f t="shared" si="37"/>
        <v>175</v>
      </c>
      <c r="W442">
        <f t="shared" si="38"/>
        <v>75</v>
      </c>
      <c r="X442" s="5">
        <f t="shared" si="39"/>
        <v>0.3</v>
      </c>
      <c r="Y442">
        <f t="shared" si="40"/>
        <v>2025</v>
      </c>
      <c r="Z442">
        <f t="shared" si="41"/>
        <v>8</v>
      </c>
    </row>
    <row r="443" spans="1:26" x14ac:dyDescent="0.3">
      <c r="A443" s="2">
        <v>1207</v>
      </c>
      <c r="B443" s="3">
        <v>45682</v>
      </c>
      <c r="C443" s="4" t="s">
        <v>69</v>
      </c>
      <c r="D443" s="4" t="s">
        <v>48</v>
      </c>
      <c r="E443" s="4" t="s">
        <v>70</v>
      </c>
      <c r="F443" s="4" t="s">
        <v>50</v>
      </c>
      <c r="G443" t="s">
        <v>71</v>
      </c>
      <c r="H443" s="2">
        <v>5</v>
      </c>
      <c r="I443" s="2">
        <v>25</v>
      </c>
      <c r="J443">
        <v>38</v>
      </c>
      <c r="K443">
        <v>0</v>
      </c>
      <c r="L443">
        <v>12</v>
      </c>
      <c r="M443" t="s">
        <v>25</v>
      </c>
      <c r="N443" t="s">
        <v>44</v>
      </c>
      <c r="O443">
        <v>23</v>
      </c>
      <c r="P443" t="s">
        <v>36</v>
      </c>
      <c r="Q443" t="s">
        <v>66</v>
      </c>
      <c r="R443" t="s">
        <v>22</v>
      </c>
      <c r="S443" t="s">
        <v>283</v>
      </c>
      <c r="T443" s="1">
        <v>46337</v>
      </c>
      <c r="U443">
        <f t="shared" si="36"/>
        <v>190</v>
      </c>
      <c r="V443">
        <f t="shared" si="37"/>
        <v>125</v>
      </c>
      <c r="W443">
        <f t="shared" si="38"/>
        <v>65</v>
      </c>
      <c r="X443" s="5">
        <f t="shared" si="39"/>
        <v>0.34210526315789475</v>
      </c>
      <c r="Y443">
        <f t="shared" si="40"/>
        <v>2025</v>
      </c>
      <c r="Z443">
        <f t="shared" si="41"/>
        <v>1</v>
      </c>
    </row>
    <row r="444" spans="1:26" x14ac:dyDescent="0.3">
      <c r="A444" s="2">
        <v>1214</v>
      </c>
      <c r="B444" s="3">
        <v>45730</v>
      </c>
      <c r="C444" s="4" t="s">
        <v>84</v>
      </c>
      <c r="D444" s="4" t="s">
        <v>85</v>
      </c>
      <c r="E444" s="4" t="s">
        <v>63</v>
      </c>
      <c r="F444" s="4" t="s">
        <v>23</v>
      </c>
      <c r="G444" t="s">
        <v>82</v>
      </c>
      <c r="H444" s="2">
        <v>5</v>
      </c>
      <c r="I444" s="2">
        <v>45</v>
      </c>
      <c r="J444">
        <v>65</v>
      </c>
      <c r="K444">
        <v>5</v>
      </c>
      <c r="L444">
        <v>12</v>
      </c>
      <c r="M444" t="s">
        <v>43</v>
      </c>
      <c r="N444" t="s">
        <v>44</v>
      </c>
      <c r="O444">
        <v>68</v>
      </c>
      <c r="P444" t="s">
        <v>27</v>
      </c>
      <c r="Q444" t="s">
        <v>37</v>
      </c>
      <c r="R444" t="s">
        <v>22</v>
      </c>
      <c r="S444" t="s">
        <v>290</v>
      </c>
      <c r="T444" s="1">
        <v>46466</v>
      </c>
      <c r="U444">
        <f t="shared" si="36"/>
        <v>325</v>
      </c>
      <c r="V444">
        <f t="shared" si="37"/>
        <v>225</v>
      </c>
      <c r="W444">
        <f t="shared" si="38"/>
        <v>100</v>
      </c>
      <c r="X444" s="5">
        <f t="shared" si="39"/>
        <v>0.30769230769230771</v>
      </c>
      <c r="Y444">
        <f t="shared" si="40"/>
        <v>2025</v>
      </c>
      <c r="Z444">
        <f t="shared" si="41"/>
        <v>3</v>
      </c>
    </row>
    <row r="445" spans="1:26" x14ac:dyDescent="0.3">
      <c r="A445" s="2">
        <v>1223</v>
      </c>
      <c r="B445" s="3">
        <v>45824</v>
      </c>
      <c r="C445" s="4" t="s">
        <v>108</v>
      </c>
      <c r="D445" s="4" t="s">
        <v>32</v>
      </c>
      <c r="E445" s="4" t="s">
        <v>109</v>
      </c>
      <c r="F445" s="4" t="s">
        <v>23</v>
      </c>
      <c r="G445" t="s">
        <v>82</v>
      </c>
      <c r="H445" s="2">
        <v>5</v>
      </c>
      <c r="I445" s="2">
        <v>90</v>
      </c>
      <c r="J445">
        <v>120</v>
      </c>
      <c r="K445">
        <v>5</v>
      </c>
      <c r="L445">
        <v>12</v>
      </c>
      <c r="M445" t="s">
        <v>43</v>
      </c>
      <c r="N445" t="s">
        <v>26</v>
      </c>
      <c r="O445">
        <v>71</v>
      </c>
      <c r="P445" t="s">
        <v>52</v>
      </c>
      <c r="Q445" t="s">
        <v>53</v>
      </c>
      <c r="R445" t="s">
        <v>29</v>
      </c>
      <c r="S445" t="s">
        <v>299</v>
      </c>
      <c r="T445" s="1">
        <v>46461</v>
      </c>
      <c r="U445">
        <f t="shared" si="36"/>
        <v>600</v>
      </c>
      <c r="V445">
        <f t="shared" si="37"/>
        <v>450</v>
      </c>
      <c r="W445">
        <f t="shared" si="38"/>
        <v>150</v>
      </c>
      <c r="X445" s="5">
        <f t="shared" si="39"/>
        <v>0.25</v>
      </c>
      <c r="Y445">
        <f t="shared" si="40"/>
        <v>2025</v>
      </c>
      <c r="Z445">
        <f t="shared" si="41"/>
        <v>6</v>
      </c>
    </row>
    <row r="446" spans="1:26" x14ac:dyDescent="0.3">
      <c r="A446" s="2">
        <v>1233</v>
      </c>
      <c r="B446" s="3">
        <v>45885</v>
      </c>
      <c r="C446" s="4" t="s">
        <v>40</v>
      </c>
      <c r="D446" s="4" t="s">
        <v>41</v>
      </c>
      <c r="E446" s="4" t="s">
        <v>33</v>
      </c>
      <c r="F446" s="4" t="s">
        <v>23</v>
      </c>
      <c r="G446" t="s">
        <v>42</v>
      </c>
      <c r="H446" s="2">
        <v>5</v>
      </c>
      <c r="I446" s="2">
        <v>24</v>
      </c>
      <c r="J446">
        <v>34</v>
      </c>
      <c r="K446">
        <v>10</v>
      </c>
      <c r="L446">
        <v>12</v>
      </c>
      <c r="M446" t="s">
        <v>25</v>
      </c>
      <c r="N446" t="s">
        <v>44</v>
      </c>
      <c r="O446">
        <v>60</v>
      </c>
      <c r="P446" t="s">
        <v>52</v>
      </c>
      <c r="Q446" t="s">
        <v>53</v>
      </c>
      <c r="R446" t="s">
        <v>54</v>
      </c>
      <c r="S446" t="s">
        <v>309</v>
      </c>
      <c r="T446" s="1">
        <v>46106</v>
      </c>
      <c r="U446">
        <f t="shared" si="36"/>
        <v>170</v>
      </c>
      <c r="V446">
        <f t="shared" si="37"/>
        <v>120</v>
      </c>
      <c r="W446">
        <f t="shared" si="38"/>
        <v>50</v>
      </c>
      <c r="X446" s="5">
        <f t="shared" si="39"/>
        <v>0.29411764705882354</v>
      </c>
      <c r="Y446">
        <f t="shared" si="40"/>
        <v>2025</v>
      </c>
      <c r="Z446">
        <f t="shared" si="41"/>
        <v>8</v>
      </c>
    </row>
    <row r="447" spans="1:26" x14ac:dyDescent="0.3">
      <c r="A447" s="2">
        <v>1234</v>
      </c>
      <c r="B447" s="3">
        <v>45799</v>
      </c>
      <c r="C447" s="4" t="s">
        <v>79</v>
      </c>
      <c r="D447" s="4" t="s">
        <v>80</v>
      </c>
      <c r="E447" s="4" t="s">
        <v>81</v>
      </c>
      <c r="F447" s="4" t="s">
        <v>23</v>
      </c>
      <c r="G447" t="s">
        <v>82</v>
      </c>
      <c r="H447" s="2">
        <v>5</v>
      </c>
      <c r="I447" s="2">
        <v>80</v>
      </c>
      <c r="J447">
        <v>110</v>
      </c>
      <c r="K447">
        <v>5</v>
      </c>
      <c r="L447">
        <v>12</v>
      </c>
      <c r="M447" t="s">
        <v>25</v>
      </c>
      <c r="N447" t="s">
        <v>26</v>
      </c>
      <c r="O447">
        <v>44</v>
      </c>
      <c r="P447" t="s">
        <v>45</v>
      </c>
      <c r="Q447" t="s">
        <v>37</v>
      </c>
      <c r="R447" t="s">
        <v>22</v>
      </c>
      <c r="S447" t="s">
        <v>310</v>
      </c>
      <c r="T447" s="1">
        <v>46151</v>
      </c>
      <c r="U447">
        <f t="shared" si="36"/>
        <v>550</v>
      </c>
      <c r="V447">
        <f t="shared" si="37"/>
        <v>400</v>
      </c>
      <c r="W447">
        <f t="shared" si="38"/>
        <v>150</v>
      </c>
      <c r="X447" s="5">
        <f t="shared" si="39"/>
        <v>0.27272727272727271</v>
      </c>
      <c r="Y447">
        <f t="shared" si="40"/>
        <v>2025</v>
      </c>
      <c r="Z447">
        <f t="shared" si="41"/>
        <v>5</v>
      </c>
    </row>
    <row r="448" spans="1:26" x14ac:dyDescent="0.3">
      <c r="A448" s="2">
        <v>1235</v>
      </c>
      <c r="B448" s="3">
        <v>45690</v>
      </c>
      <c r="C448" s="4" t="s">
        <v>98</v>
      </c>
      <c r="D448" s="4" t="s">
        <v>41</v>
      </c>
      <c r="E448" s="4" t="s">
        <v>33</v>
      </c>
      <c r="F448" s="4" t="s">
        <v>23</v>
      </c>
      <c r="G448" t="s">
        <v>82</v>
      </c>
      <c r="H448" s="2">
        <v>5</v>
      </c>
      <c r="I448" s="2">
        <v>22</v>
      </c>
      <c r="J448">
        <v>32</v>
      </c>
      <c r="K448">
        <v>5</v>
      </c>
      <c r="L448">
        <v>12</v>
      </c>
      <c r="M448" t="s">
        <v>35</v>
      </c>
      <c r="N448" t="s">
        <v>26</v>
      </c>
      <c r="O448">
        <v>32</v>
      </c>
      <c r="P448" t="s">
        <v>52</v>
      </c>
      <c r="Q448" t="s">
        <v>53</v>
      </c>
      <c r="R448" t="s">
        <v>22</v>
      </c>
      <c r="S448" t="s">
        <v>311</v>
      </c>
      <c r="T448" s="1">
        <v>46272</v>
      </c>
      <c r="U448">
        <f t="shared" si="36"/>
        <v>160</v>
      </c>
      <c r="V448">
        <f t="shared" si="37"/>
        <v>110</v>
      </c>
      <c r="W448">
        <f t="shared" si="38"/>
        <v>50</v>
      </c>
      <c r="X448" s="5">
        <f t="shared" si="39"/>
        <v>0.3125</v>
      </c>
      <c r="Y448">
        <f t="shared" si="40"/>
        <v>2025</v>
      </c>
      <c r="Z448">
        <f t="shared" si="41"/>
        <v>2</v>
      </c>
    </row>
    <row r="449" spans="1:26" x14ac:dyDescent="0.3">
      <c r="A449" s="2">
        <v>1236</v>
      </c>
      <c r="B449" s="3">
        <v>45708</v>
      </c>
      <c r="C449" s="4" t="s">
        <v>20</v>
      </c>
      <c r="D449" s="4" t="s">
        <v>21</v>
      </c>
      <c r="E449" s="4" t="s">
        <v>22</v>
      </c>
      <c r="F449" s="4" t="s">
        <v>23</v>
      </c>
      <c r="G449" t="s">
        <v>24</v>
      </c>
      <c r="H449" s="2">
        <v>5</v>
      </c>
      <c r="I449" s="2">
        <v>60</v>
      </c>
      <c r="J449">
        <v>85</v>
      </c>
      <c r="K449">
        <v>0</v>
      </c>
      <c r="L449">
        <v>12</v>
      </c>
      <c r="M449" t="s">
        <v>43</v>
      </c>
      <c r="N449" t="s">
        <v>26</v>
      </c>
      <c r="O449">
        <v>46</v>
      </c>
      <c r="P449" t="s">
        <v>52</v>
      </c>
      <c r="Q449" t="s">
        <v>37</v>
      </c>
      <c r="R449" t="s">
        <v>22</v>
      </c>
      <c r="S449" t="s">
        <v>312</v>
      </c>
      <c r="T449" s="1">
        <v>46489</v>
      </c>
      <c r="U449">
        <f t="shared" si="36"/>
        <v>425</v>
      </c>
      <c r="V449">
        <f t="shared" si="37"/>
        <v>300</v>
      </c>
      <c r="W449">
        <f t="shared" si="38"/>
        <v>125</v>
      </c>
      <c r="X449" s="5">
        <f t="shared" si="39"/>
        <v>0.29411764705882354</v>
      </c>
      <c r="Y449">
        <f t="shared" si="40"/>
        <v>2025</v>
      </c>
      <c r="Z449">
        <f t="shared" si="41"/>
        <v>2</v>
      </c>
    </row>
    <row r="450" spans="1:26" x14ac:dyDescent="0.3">
      <c r="A450" s="2">
        <v>1246</v>
      </c>
      <c r="B450" s="3">
        <v>46011</v>
      </c>
      <c r="C450" s="4" t="s">
        <v>98</v>
      </c>
      <c r="D450" s="4" t="s">
        <v>41</v>
      </c>
      <c r="E450" s="4" t="s">
        <v>33</v>
      </c>
      <c r="F450" s="4" t="s">
        <v>23</v>
      </c>
      <c r="G450" t="s">
        <v>82</v>
      </c>
      <c r="H450" s="2">
        <v>5</v>
      </c>
      <c r="I450" s="2">
        <v>22</v>
      </c>
      <c r="J450">
        <v>32</v>
      </c>
      <c r="K450">
        <v>10</v>
      </c>
      <c r="L450">
        <v>12</v>
      </c>
      <c r="M450" t="s">
        <v>43</v>
      </c>
      <c r="N450" t="s">
        <v>44</v>
      </c>
      <c r="O450">
        <v>65</v>
      </c>
      <c r="P450" t="s">
        <v>45</v>
      </c>
      <c r="Q450" t="s">
        <v>37</v>
      </c>
      <c r="R450" t="s">
        <v>22</v>
      </c>
      <c r="S450" t="s">
        <v>322</v>
      </c>
      <c r="T450" s="1">
        <v>46446</v>
      </c>
      <c r="U450">
        <f t="shared" si="36"/>
        <v>160</v>
      </c>
      <c r="V450">
        <f t="shared" si="37"/>
        <v>110</v>
      </c>
      <c r="W450">
        <f t="shared" si="38"/>
        <v>50</v>
      </c>
      <c r="X450" s="5">
        <f t="shared" si="39"/>
        <v>0.3125</v>
      </c>
      <c r="Y450">
        <f t="shared" si="40"/>
        <v>2025</v>
      </c>
      <c r="Z450">
        <f t="shared" si="41"/>
        <v>12</v>
      </c>
    </row>
    <row r="451" spans="1:26" x14ac:dyDescent="0.3">
      <c r="A451" s="2">
        <v>1253</v>
      </c>
      <c r="B451" s="3">
        <v>45946</v>
      </c>
      <c r="C451" s="4" t="s">
        <v>84</v>
      </c>
      <c r="D451" s="4" t="s">
        <v>85</v>
      </c>
      <c r="E451" s="4" t="s">
        <v>63</v>
      </c>
      <c r="F451" s="4" t="s">
        <v>23</v>
      </c>
      <c r="G451" t="s">
        <v>82</v>
      </c>
      <c r="H451" s="2">
        <v>5</v>
      </c>
      <c r="I451" s="2">
        <v>45</v>
      </c>
      <c r="J451">
        <v>65</v>
      </c>
      <c r="K451">
        <v>5</v>
      </c>
      <c r="L451">
        <v>12</v>
      </c>
      <c r="M451" t="s">
        <v>35</v>
      </c>
      <c r="N451" t="s">
        <v>26</v>
      </c>
      <c r="O451">
        <v>41</v>
      </c>
      <c r="P451" t="s">
        <v>52</v>
      </c>
      <c r="Q451" t="s">
        <v>37</v>
      </c>
      <c r="R451" t="s">
        <v>86</v>
      </c>
      <c r="S451" t="s">
        <v>212</v>
      </c>
      <c r="T451" s="1">
        <v>46171</v>
      </c>
      <c r="U451">
        <f t="shared" ref="U451:U501" si="42">(H451*J451)</f>
        <v>325</v>
      </c>
      <c r="V451">
        <f t="shared" ref="V451:V501" si="43">(H451*I451)</f>
        <v>225</v>
      </c>
      <c r="W451">
        <f t="shared" ref="W451:W501" si="44">(U451-V451)</f>
        <v>100</v>
      </c>
      <c r="X451" s="5">
        <f t="shared" ref="X451:X501" si="45">(W451/U451)</f>
        <v>0.30769230769230771</v>
      </c>
      <c r="Y451">
        <f t="shared" ref="Y451:Y501" si="46">YEAR(B451)</f>
        <v>2025</v>
      </c>
      <c r="Z451">
        <f t="shared" ref="Z451:Z501" si="47">MONTH(B451)</f>
        <v>10</v>
      </c>
    </row>
    <row r="452" spans="1:26" x14ac:dyDescent="0.3">
      <c r="A452" s="2">
        <v>1258</v>
      </c>
      <c r="B452" s="3">
        <v>45832</v>
      </c>
      <c r="C452" s="4" t="s">
        <v>108</v>
      </c>
      <c r="D452" s="4" t="s">
        <v>32</v>
      </c>
      <c r="E452" s="4" t="s">
        <v>109</v>
      </c>
      <c r="F452" s="4" t="s">
        <v>23</v>
      </c>
      <c r="G452" t="s">
        <v>82</v>
      </c>
      <c r="H452" s="2">
        <v>5</v>
      </c>
      <c r="I452" s="2">
        <v>90</v>
      </c>
      <c r="J452">
        <v>120</v>
      </c>
      <c r="K452">
        <v>10</v>
      </c>
      <c r="L452">
        <v>12</v>
      </c>
      <c r="M452" t="s">
        <v>25</v>
      </c>
      <c r="N452" t="s">
        <v>44</v>
      </c>
      <c r="O452">
        <v>73</v>
      </c>
      <c r="P452" t="s">
        <v>36</v>
      </c>
      <c r="Q452" t="s">
        <v>37</v>
      </c>
      <c r="R452" t="s">
        <v>29</v>
      </c>
      <c r="S452" t="s">
        <v>333</v>
      </c>
      <c r="T452" s="1">
        <v>46067</v>
      </c>
      <c r="U452">
        <f t="shared" si="42"/>
        <v>600</v>
      </c>
      <c r="V452">
        <f t="shared" si="43"/>
        <v>450</v>
      </c>
      <c r="W452">
        <f t="shared" si="44"/>
        <v>150</v>
      </c>
      <c r="X452" s="5">
        <f t="shared" si="45"/>
        <v>0.25</v>
      </c>
      <c r="Y452">
        <f t="shared" si="46"/>
        <v>2025</v>
      </c>
      <c r="Z452">
        <f t="shared" si="47"/>
        <v>6</v>
      </c>
    </row>
    <row r="453" spans="1:26" x14ac:dyDescent="0.3">
      <c r="A453" s="2">
        <v>1262</v>
      </c>
      <c r="B453" s="3">
        <v>45761</v>
      </c>
      <c r="C453" s="4" t="s">
        <v>61</v>
      </c>
      <c r="D453" s="4" t="s">
        <v>62</v>
      </c>
      <c r="E453" s="4" t="s">
        <v>63</v>
      </c>
      <c r="F453" s="4" t="s">
        <v>23</v>
      </c>
      <c r="G453" t="s">
        <v>64</v>
      </c>
      <c r="H453" s="2">
        <v>5</v>
      </c>
      <c r="I453" s="2">
        <v>12</v>
      </c>
      <c r="J453">
        <v>20</v>
      </c>
      <c r="K453">
        <v>0</v>
      </c>
      <c r="L453">
        <v>12</v>
      </c>
      <c r="M453" t="s">
        <v>25</v>
      </c>
      <c r="N453" t="s">
        <v>26</v>
      </c>
      <c r="O453">
        <v>54</v>
      </c>
      <c r="P453" t="s">
        <v>36</v>
      </c>
      <c r="Q453" t="s">
        <v>28</v>
      </c>
      <c r="R453" t="s">
        <v>86</v>
      </c>
      <c r="S453" t="s">
        <v>337</v>
      </c>
      <c r="T453" s="1">
        <v>46025</v>
      </c>
      <c r="U453">
        <f t="shared" si="42"/>
        <v>100</v>
      </c>
      <c r="V453">
        <f t="shared" si="43"/>
        <v>60</v>
      </c>
      <c r="W453">
        <f t="shared" si="44"/>
        <v>40</v>
      </c>
      <c r="X453" s="5">
        <f t="shared" si="45"/>
        <v>0.4</v>
      </c>
      <c r="Y453">
        <f t="shared" si="46"/>
        <v>2025</v>
      </c>
      <c r="Z453">
        <f t="shared" si="47"/>
        <v>4</v>
      </c>
    </row>
    <row r="454" spans="1:26" x14ac:dyDescent="0.3">
      <c r="A454" s="2">
        <v>1264</v>
      </c>
      <c r="B454" s="3">
        <v>46004</v>
      </c>
      <c r="C454" s="4" t="s">
        <v>40</v>
      </c>
      <c r="D454" s="4" t="s">
        <v>41</v>
      </c>
      <c r="E454" s="4" t="s">
        <v>33</v>
      </c>
      <c r="F454" s="4" t="s">
        <v>23</v>
      </c>
      <c r="G454" t="s">
        <v>42</v>
      </c>
      <c r="H454" s="2">
        <v>5</v>
      </c>
      <c r="I454" s="2">
        <v>24</v>
      </c>
      <c r="J454">
        <v>34</v>
      </c>
      <c r="K454">
        <v>0</v>
      </c>
      <c r="L454">
        <v>12</v>
      </c>
      <c r="M454" t="s">
        <v>25</v>
      </c>
      <c r="N454" t="s">
        <v>26</v>
      </c>
      <c r="O454">
        <v>66</v>
      </c>
      <c r="P454" t="s">
        <v>52</v>
      </c>
      <c r="Q454" t="s">
        <v>37</v>
      </c>
      <c r="R454" t="s">
        <v>22</v>
      </c>
      <c r="S454" t="s">
        <v>339</v>
      </c>
      <c r="T454" s="1">
        <v>46794</v>
      </c>
      <c r="U454">
        <f t="shared" si="42"/>
        <v>170</v>
      </c>
      <c r="V454">
        <f t="shared" si="43"/>
        <v>120</v>
      </c>
      <c r="W454">
        <f t="shared" si="44"/>
        <v>50</v>
      </c>
      <c r="X454" s="5">
        <f t="shared" si="45"/>
        <v>0.29411764705882354</v>
      </c>
      <c r="Y454">
        <f t="shared" si="46"/>
        <v>2025</v>
      </c>
      <c r="Z454">
        <f t="shared" si="47"/>
        <v>12</v>
      </c>
    </row>
    <row r="455" spans="1:26" x14ac:dyDescent="0.3">
      <c r="A455" s="2">
        <v>1272</v>
      </c>
      <c r="B455" s="3">
        <v>45664</v>
      </c>
      <c r="C455" s="4" t="s">
        <v>105</v>
      </c>
      <c r="D455" s="4" t="s">
        <v>106</v>
      </c>
      <c r="E455" s="4" t="s">
        <v>22</v>
      </c>
      <c r="F455" s="4" t="s">
        <v>23</v>
      </c>
      <c r="G455" t="s">
        <v>51</v>
      </c>
      <c r="H455" s="2">
        <v>5</v>
      </c>
      <c r="I455" s="2">
        <v>95</v>
      </c>
      <c r="J455">
        <v>125</v>
      </c>
      <c r="K455">
        <v>10</v>
      </c>
      <c r="L455">
        <v>12</v>
      </c>
      <c r="M455" t="s">
        <v>25</v>
      </c>
      <c r="N455" t="s">
        <v>44</v>
      </c>
      <c r="O455">
        <v>49</v>
      </c>
      <c r="P455" t="s">
        <v>45</v>
      </c>
      <c r="Q455" t="s">
        <v>66</v>
      </c>
      <c r="R455" t="s">
        <v>29</v>
      </c>
      <c r="S455" t="s">
        <v>347</v>
      </c>
      <c r="T455" s="1">
        <v>46426</v>
      </c>
      <c r="U455">
        <f t="shared" si="42"/>
        <v>625</v>
      </c>
      <c r="V455">
        <f t="shared" si="43"/>
        <v>475</v>
      </c>
      <c r="W455">
        <f t="shared" si="44"/>
        <v>150</v>
      </c>
      <c r="X455" s="5">
        <f t="shared" si="45"/>
        <v>0.24</v>
      </c>
      <c r="Y455">
        <f t="shared" si="46"/>
        <v>2025</v>
      </c>
      <c r="Z455">
        <f t="shared" si="47"/>
        <v>1</v>
      </c>
    </row>
    <row r="456" spans="1:26" x14ac:dyDescent="0.3">
      <c r="A456" s="2">
        <v>1276</v>
      </c>
      <c r="B456" s="3">
        <v>45698</v>
      </c>
      <c r="C456" s="4" t="s">
        <v>84</v>
      </c>
      <c r="D456" s="4" t="s">
        <v>85</v>
      </c>
      <c r="E456" s="4" t="s">
        <v>63</v>
      </c>
      <c r="F456" s="4" t="s">
        <v>23</v>
      </c>
      <c r="G456" t="s">
        <v>82</v>
      </c>
      <c r="H456" s="2">
        <v>5</v>
      </c>
      <c r="I456" s="2">
        <v>45</v>
      </c>
      <c r="J456">
        <v>65</v>
      </c>
      <c r="K456">
        <v>0</v>
      </c>
      <c r="L456">
        <v>12</v>
      </c>
      <c r="M456" t="s">
        <v>35</v>
      </c>
      <c r="N456" t="s">
        <v>44</v>
      </c>
      <c r="O456">
        <v>35</v>
      </c>
      <c r="P456" t="s">
        <v>27</v>
      </c>
      <c r="Q456" t="s">
        <v>28</v>
      </c>
      <c r="R456" t="s">
        <v>29</v>
      </c>
      <c r="S456" t="s">
        <v>351</v>
      </c>
      <c r="T456" s="1">
        <v>46273</v>
      </c>
      <c r="U456">
        <f t="shared" si="42"/>
        <v>325</v>
      </c>
      <c r="V456">
        <f t="shared" si="43"/>
        <v>225</v>
      </c>
      <c r="W456">
        <f t="shared" si="44"/>
        <v>100</v>
      </c>
      <c r="X456" s="5">
        <f t="shared" si="45"/>
        <v>0.30769230769230771</v>
      </c>
      <c r="Y456">
        <f t="shared" si="46"/>
        <v>2025</v>
      </c>
      <c r="Z456">
        <f t="shared" si="47"/>
        <v>2</v>
      </c>
    </row>
    <row r="457" spans="1:26" x14ac:dyDescent="0.3">
      <c r="A457" s="2">
        <v>1283</v>
      </c>
      <c r="B457" s="3">
        <v>46004</v>
      </c>
      <c r="C457" s="4" t="s">
        <v>61</v>
      </c>
      <c r="D457" s="4" t="s">
        <v>62</v>
      </c>
      <c r="E457" s="4" t="s">
        <v>63</v>
      </c>
      <c r="F457" s="4" t="s">
        <v>23</v>
      </c>
      <c r="G457" t="s">
        <v>64</v>
      </c>
      <c r="H457" s="2">
        <v>5</v>
      </c>
      <c r="I457" s="2">
        <v>12</v>
      </c>
      <c r="J457">
        <v>20</v>
      </c>
      <c r="K457">
        <v>10</v>
      </c>
      <c r="L457">
        <v>12</v>
      </c>
      <c r="M457" t="s">
        <v>35</v>
      </c>
      <c r="N457" t="s">
        <v>26</v>
      </c>
      <c r="O457">
        <v>36</v>
      </c>
      <c r="P457" t="s">
        <v>45</v>
      </c>
      <c r="Q457" t="s">
        <v>53</v>
      </c>
      <c r="R457" t="s">
        <v>22</v>
      </c>
      <c r="S457" t="s">
        <v>358</v>
      </c>
      <c r="T457" s="1">
        <v>46689</v>
      </c>
      <c r="U457">
        <f t="shared" si="42"/>
        <v>100</v>
      </c>
      <c r="V457">
        <f t="shared" si="43"/>
        <v>60</v>
      </c>
      <c r="W457">
        <f t="shared" si="44"/>
        <v>40</v>
      </c>
      <c r="X457" s="5">
        <f t="shared" si="45"/>
        <v>0.4</v>
      </c>
      <c r="Y457">
        <f t="shared" si="46"/>
        <v>2025</v>
      </c>
      <c r="Z457">
        <f t="shared" si="47"/>
        <v>12</v>
      </c>
    </row>
    <row r="458" spans="1:26" x14ac:dyDescent="0.3">
      <c r="A458" s="2">
        <v>1285</v>
      </c>
      <c r="B458" s="3">
        <v>45728</v>
      </c>
      <c r="C458" s="4" t="s">
        <v>84</v>
      </c>
      <c r="D458" s="4" t="s">
        <v>85</v>
      </c>
      <c r="E458" s="4" t="s">
        <v>63</v>
      </c>
      <c r="F458" s="4" t="s">
        <v>23</v>
      </c>
      <c r="G458" t="s">
        <v>82</v>
      </c>
      <c r="H458" s="2">
        <v>5</v>
      </c>
      <c r="I458" s="2">
        <v>45</v>
      </c>
      <c r="J458">
        <v>65</v>
      </c>
      <c r="K458">
        <v>0</v>
      </c>
      <c r="L458">
        <v>12</v>
      </c>
      <c r="M458" t="s">
        <v>25</v>
      </c>
      <c r="N458" t="s">
        <v>26</v>
      </c>
      <c r="O458">
        <v>57</v>
      </c>
      <c r="P458" t="s">
        <v>52</v>
      </c>
      <c r="Q458" t="s">
        <v>37</v>
      </c>
      <c r="R458" t="s">
        <v>54</v>
      </c>
      <c r="S458" t="s">
        <v>360</v>
      </c>
      <c r="T458" s="1">
        <v>46457</v>
      </c>
      <c r="U458">
        <f t="shared" si="42"/>
        <v>325</v>
      </c>
      <c r="V458">
        <f t="shared" si="43"/>
        <v>225</v>
      </c>
      <c r="W458">
        <f t="shared" si="44"/>
        <v>100</v>
      </c>
      <c r="X458" s="5">
        <f t="shared" si="45"/>
        <v>0.30769230769230771</v>
      </c>
      <c r="Y458">
        <f t="shared" si="46"/>
        <v>2025</v>
      </c>
      <c r="Z458">
        <f t="shared" si="47"/>
        <v>3</v>
      </c>
    </row>
    <row r="459" spans="1:26" x14ac:dyDescent="0.3">
      <c r="A459" s="2">
        <v>1287</v>
      </c>
      <c r="B459" s="3">
        <v>45853</v>
      </c>
      <c r="C459" s="4" t="s">
        <v>98</v>
      </c>
      <c r="D459" s="4" t="s">
        <v>41</v>
      </c>
      <c r="E459" s="4" t="s">
        <v>33</v>
      </c>
      <c r="F459" s="4" t="s">
        <v>23</v>
      </c>
      <c r="G459" t="s">
        <v>82</v>
      </c>
      <c r="H459" s="2">
        <v>5</v>
      </c>
      <c r="I459" s="2">
        <v>22</v>
      </c>
      <c r="J459">
        <v>32</v>
      </c>
      <c r="K459">
        <v>5</v>
      </c>
      <c r="L459">
        <v>12</v>
      </c>
      <c r="M459" t="s">
        <v>25</v>
      </c>
      <c r="N459" t="s">
        <v>26</v>
      </c>
      <c r="O459">
        <v>41</v>
      </c>
      <c r="P459" t="s">
        <v>36</v>
      </c>
      <c r="Q459" t="s">
        <v>53</v>
      </c>
      <c r="R459" t="s">
        <v>38</v>
      </c>
      <c r="S459" t="s">
        <v>362</v>
      </c>
      <c r="T459" s="1">
        <v>46087</v>
      </c>
      <c r="U459">
        <f t="shared" si="42"/>
        <v>160</v>
      </c>
      <c r="V459">
        <f t="shared" si="43"/>
        <v>110</v>
      </c>
      <c r="W459">
        <f t="shared" si="44"/>
        <v>50</v>
      </c>
      <c r="X459" s="5">
        <f t="shared" si="45"/>
        <v>0.3125</v>
      </c>
      <c r="Y459">
        <f t="shared" si="46"/>
        <v>2025</v>
      </c>
      <c r="Z459">
        <f t="shared" si="47"/>
        <v>7</v>
      </c>
    </row>
    <row r="460" spans="1:26" x14ac:dyDescent="0.3">
      <c r="A460" s="2">
        <v>1294</v>
      </c>
      <c r="B460" s="3">
        <v>45658</v>
      </c>
      <c r="C460" s="4" t="s">
        <v>79</v>
      </c>
      <c r="D460" s="4" t="s">
        <v>80</v>
      </c>
      <c r="E460" s="4" t="s">
        <v>81</v>
      </c>
      <c r="F460" s="4" t="s">
        <v>23</v>
      </c>
      <c r="G460" t="s">
        <v>82</v>
      </c>
      <c r="H460" s="2">
        <v>5</v>
      </c>
      <c r="I460" s="2">
        <v>80</v>
      </c>
      <c r="J460">
        <v>110</v>
      </c>
      <c r="K460">
        <v>10</v>
      </c>
      <c r="L460">
        <v>12</v>
      </c>
      <c r="M460" t="s">
        <v>35</v>
      </c>
      <c r="N460" t="s">
        <v>26</v>
      </c>
      <c r="O460">
        <v>43</v>
      </c>
      <c r="P460" t="s">
        <v>52</v>
      </c>
      <c r="Q460" t="s">
        <v>59</v>
      </c>
      <c r="R460" t="s">
        <v>38</v>
      </c>
      <c r="S460" t="s">
        <v>369</v>
      </c>
      <c r="T460" s="1">
        <v>46030</v>
      </c>
      <c r="U460">
        <f t="shared" si="42"/>
        <v>550</v>
      </c>
      <c r="V460">
        <f t="shared" si="43"/>
        <v>400</v>
      </c>
      <c r="W460">
        <f t="shared" si="44"/>
        <v>150</v>
      </c>
      <c r="X460" s="5">
        <f t="shared" si="45"/>
        <v>0.27272727272727271</v>
      </c>
      <c r="Y460">
        <f t="shared" si="46"/>
        <v>2025</v>
      </c>
      <c r="Z460">
        <f t="shared" si="47"/>
        <v>1</v>
      </c>
    </row>
    <row r="461" spans="1:26" x14ac:dyDescent="0.3">
      <c r="A461" s="2">
        <v>1299</v>
      </c>
      <c r="B461" s="3">
        <v>45756</v>
      </c>
      <c r="C461" s="4" t="s">
        <v>98</v>
      </c>
      <c r="D461" s="4" t="s">
        <v>41</v>
      </c>
      <c r="E461" s="4" t="s">
        <v>33</v>
      </c>
      <c r="F461" s="4" t="s">
        <v>23</v>
      </c>
      <c r="G461" t="s">
        <v>82</v>
      </c>
      <c r="H461" s="2">
        <v>5</v>
      </c>
      <c r="I461" s="2">
        <v>22</v>
      </c>
      <c r="J461">
        <v>32</v>
      </c>
      <c r="K461">
        <v>5</v>
      </c>
      <c r="L461">
        <v>12</v>
      </c>
      <c r="M461" t="s">
        <v>35</v>
      </c>
      <c r="N461" t="s">
        <v>44</v>
      </c>
      <c r="O461">
        <v>37</v>
      </c>
      <c r="P461" t="s">
        <v>27</v>
      </c>
      <c r="Q461" t="s">
        <v>37</v>
      </c>
      <c r="R461" t="s">
        <v>86</v>
      </c>
      <c r="S461" t="s">
        <v>374</v>
      </c>
      <c r="T461" s="1">
        <v>46437</v>
      </c>
      <c r="U461">
        <f t="shared" si="42"/>
        <v>160</v>
      </c>
      <c r="V461">
        <f t="shared" si="43"/>
        <v>110</v>
      </c>
      <c r="W461">
        <f t="shared" si="44"/>
        <v>50</v>
      </c>
      <c r="X461" s="5">
        <f t="shared" si="45"/>
        <v>0.3125</v>
      </c>
      <c r="Y461">
        <f t="shared" si="46"/>
        <v>2025</v>
      </c>
      <c r="Z461">
        <f t="shared" si="47"/>
        <v>4</v>
      </c>
    </row>
    <row r="462" spans="1:26" x14ac:dyDescent="0.3">
      <c r="A462" s="2">
        <v>1302</v>
      </c>
      <c r="B462" s="3">
        <v>45912</v>
      </c>
      <c r="C462" s="4" t="s">
        <v>108</v>
      </c>
      <c r="D462" s="4" t="s">
        <v>32</v>
      </c>
      <c r="E462" s="4" t="s">
        <v>109</v>
      </c>
      <c r="F462" s="4" t="s">
        <v>23</v>
      </c>
      <c r="G462" t="s">
        <v>82</v>
      </c>
      <c r="H462" s="2">
        <v>5</v>
      </c>
      <c r="I462" s="2">
        <v>90</v>
      </c>
      <c r="J462">
        <v>120</v>
      </c>
      <c r="K462">
        <v>10</v>
      </c>
      <c r="L462">
        <v>12</v>
      </c>
      <c r="M462" t="s">
        <v>25</v>
      </c>
      <c r="N462" t="s">
        <v>44</v>
      </c>
      <c r="O462">
        <v>58</v>
      </c>
      <c r="P462" t="s">
        <v>52</v>
      </c>
      <c r="Q462" t="s">
        <v>66</v>
      </c>
      <c r="R462" t="s">
        <v>29</v>
      </c>
      <c r="S462" t="s">
        <v>377</v>
      </c>
      <c r="T462" s="1">
        <v>46672</v>
      </c>
      <c r="U462">
        <f t="shared" si="42"/>
        <v>600</v>
      </c>
      <c r="V462">
        <f t="shared" si="43"/>
        <v>450</v>
      </c>
      <c r="W462">
        <f t="shared" si="44"/>
        <v>150</v>
      </c>
      <c r="X462" s="5">
        <f t="shared" si="45"/>
        <v>0.25</v>
      </c>
      <c r="Y462">
        <f t="shared" si="46"/>
        <v>2025</v>
      </c>
      <c r="Z462">
        <f t="shared" si="47"/>
        <v>9</v>
      </c>
    </row>
    <row r="463" spans="1:26" x14ac:dyDescent="0.3">
      <c r="A463" s="2">
        <v>1305</v>
      </c>
      <c r="B463" s="3">
        <v>45943</v>
      </c>
      <c r="C463" s="4" t="s">
        <v>75</v>
      </c>
      <c r="D463" s="4" t="s">
        <v>41</v>
      </c>
      <c r="E463" s="4" t="s">
        <v>76</v>
      </c>
      <c r="F463" s="4" t="s">
        <v>23</v>
      </c>
      <c r="G463" t="s">
        <v>42</v>
      </c>
      <c r="H463" s="2">
        <v>5</v>
      </c>
      <c r="I463" s="2">
        <v>25</v>
      </c>
      <c r="J463">
        <v>35</v>
      </c>
      <c r="K463">
        <v>5</v>
      </c>
      <c r="L463">
        <v>12</v>
      </c>
      <c r="M463" t="s">
        <v>35</v>
      </c>
      <c r="N463" t="s">
        <v>44</v>
      </c>
      <c r="O463">
        <v>71</v>
      </c>
      <c r="P463" t="s">
        <v>36</v>
      </c>
      <c r="Q463" t="s">
        <v>37</v>
      </c>
      <c r="R463" t="s">
        <v>22</v>
      </c>
      <c r="S463" t="s">
        <v>380</v>
      </c>
      <c r="T463" s="1">
        <v>46230</v>
      </c>
      <c r="U463">
        <f t="shared" si="42"/>
        <v>175</v>
      </c>
      <c r="V463">
        <f t="shared" si="43"/>
        <v>125</v>
      </c>
      <c r="W463">
        <f t="shared" si="44"/>
        <v>50</v>
      </c>
      <c r="X463" s="5">
        <f t="shared" si="45"/>
        <v>0.2857142857142857</v>
      </c>
      <c r="Y463">
        <f t="shared" si="46"/>
        <v>2025</v>
      </c>
      <c r="Z463">
        <f t="shared" si="47"/>
        <v>10</v>
      </c>
    </row>
    <row r="464" spans="1:26" x14ac:dyDescent="0.3">
      <c r="A464" s="2">
        <v>1326</v>
      </c>
      <c r="B464" s="3">
        <v>45949</v>
      </c>
      <c r="C464" s="4" t="s">
        <v>108</v>
      </c>
      <c r="D464" s="4" t="s">
        <v>32</v>
      </c>
      <c r="E464" s="4" t="s">
        <v>109</v>
      </c>
      <c r="F464" s="4" t="s">
        <v>23</v>
      </c>
      <c r="G464" t="s">
        <v>82</v>
      </c>
      <c r="H464" s="2">
        <v>5</v>
      </c>
      <c r="I464" s="2">
        <v>90</v>
      </c>
      <c r="J464">
        <v>120</v>
      </c>
      <c r="K464">
        <v>10</v>
      </c>
      <c r="L464">
        <v>12</v>
      </c>
      <c r="M464" t="s">
        <v>43</v>
      </c>
      <c r="N464" t="s">
        <v>26</v>
      </c>
      <c r="O464">
        <v>30</v>
      </c>
      <c r="P464" t="s">
        <v>52</v>
      </c>
      <c r="Q464" t="s">
        <v>59</v>
      </c>
      <c r="R464" t="s">
        <v>29</v>
      </c>
      <c r="S464" t="s">
        <v>399</v>
      </c>
      <c r="T464" s="1">
        <v>46317</v>
      </c>
      <c r="U464">
        <f t="shared" si="42"/>
        <v>600</v>
      </c>
      <c r="V464">
        <f t="shared" si="43"/>
        <v>450</v>
      </c>
      <c r="W464">
        <f t="shared" si="44"/>
        <v>150</v>
      </c>
      <c r="X464" s="5">
        <f t="shared" si="45"/>
        <v>0.25</v>
      </c>
      <c r="Y464">
        <f t="shared" si="46"/>
        <v>2025</v>
      </c>
      <c r="Z464">
        <f t="shared" si="47"/>
        <v>10</v>
      </c>
    </row>
    <row r="465" spans="1:26" x14ac:dyDescent="0.3">
      <c r="A465" s="2">
        <v>1328</v>
      </c>
      <c r="B465" s="3">
        <v>45672</v>
      </c>
      <c r="C465" s="4" t="s">
        <v>47</v>
      </c>
      <c r="D465" s="4" t="s">
        <v>48</v>
      </c>
      <c r="E465" s="4" t="s">
        <v>49</v>
      </c>
      <c r="F465" s="4" t="s">
        <v>50</v>
      </c>
      <c r="G465" t="s">
        <v>51</v>
      </c>
      <c r="H465" s="2">
        <v>5</v>
      </c>
      <c r="I465" s="2">
        <v>35</v>
      </c>
      <c r="J465">
        <v>50</v>
      </c>
      <c r="K465">
        <v>10</v>
      </c>
      <c r="L465">
        <v>12</v>
      </c>
      <c r="M465" t="s">
        <v>35</v>
      </c>
      <c r="N465" t="s">
        <v>44</v>
      </c>
      <c r="O465">
        <v>75</v>
      </c>
      <c r="P465" t="s">
        <v>36</v>
      </c>
      <c r="Q465" t="s">
        <v>28</v>
      </c>
      <c r="R465" t="s">
        <v>29</v>
      </c>
      <c r="S465" t="s">
        <v>401</v>
      </c>
      <c r="T465" s="1">
        <v>46009</v>
      </c>
      <c r="U465">
        <f t="shared" si="42"/>
        <v>250</v>
      </c>
      <c r="V465">
        <f t="shared" si="43"/>
        <v>175</v>
      </c>
      <c r="W465">
        <f t="shared" si="44"/>
        <v>75</v>
      </c>
      <c r="X465" s="5">
        <f t="shared" si="45"/>
        <v>0.3</v>
      </c>
      <c r="Y465">
        <f t="shared" si="46"/>
        <v>2025</v>
      </c>
      <c r="Z465">
        <f t="shared" si="47"/>
        <v>1</v>
      </c>
    </row>
    <row r="466" spans="1:26" x14ac:dyDescent="0.3">
      <c r="A466" s="2">
        <v>1330</v>
      </c>
      <c r="B466" s="3">
        <v>45712</v>
      </c>
      <c r="C466" s="4" t="s">
        <v>98</v>
      </c>
      <c r="D466" s="4" t="s">
        <v>41</v>
      </c>
      <c r="E466" s="4" t="s">
        <v>33</v>
      </c>
      <c r="F466" s="4" t="s">
        <v>23</v>
      </c>
      <c r="G466" t="s">
        <v>82</v>
      </c>
      <c r="H466" s="2">
        <v>5</v>
      </c>
      <c r="I466" s="2">
        <v>22</v>
      </c>
      <c r="J466">
        <v>32</v>
      </c>
      <c r="K466">
        <v>10</v>
      </c>
      <c r="L466">
        <v>12</v>
      </c>
      <c r="M466" t="s">
        <v>25</v>
      </c>
      <c r="N466" t="s">
        <v>26</v>
      </c>
      <c r="O466">
        <v>66</v>
      </c>
      <c r="P466" t="s">
        <v>36</v>
      </c>
      <c r="Q466" t="s">
        <v>37</v>
      </c>
      <c r="R466" t="s">
        <v>22</v>
      </c>
      <c r="S466" t="s">
        <v>403</v>
      </c>
      <c r="T466" s="1">
        <v>45990</v>
      </c>
      <c r="U466">
        <f t="shared" si="42"/>
        <v>160</v>
      </c>
      <c r="V466">
        <f t="shared" si="43"/>
        <v>110</v>
      </c>
      <c r="W466">
        <f t="shared" si="44"/>
        <v>50</v>
      </c>
      <c r="X466" s="5">
        <f t="shared" si="45"/>
        <v>0.3125</v>
      </c>
      <c r="Y466">
        <f t="shared" si="46"/>
        <v>2025</v>
      </c>
      <c r="Z466">
        <f t="shared" si="47"/>
        <v>2</v>
      </c>
    </row>
    <row r="467" spans="1:26" x14ac:dyDescent="0.3">
      <c r="A467" s="2">
        <v>1335</v>
      </c>
      <c r="B467" s="3">
        <v>45961</v>
      </c>
      <c r="C467" s="4" t="s">
        <v>47</v>
      </c>
      <c r="D467" s="4" t="s">
        <v>48</v>
      </c>
      <c r="E467" s="4" t="s">
        <v>49</v>
      </c>
      <c r="F467" s="4" t="s">
        <v>50</v>
      </c>
      <c r="G467" t="s">
        <v>51</v>
      </c>
      <c r="H467" s="2">
        <v>5</v>
      </c>
      <c r="I467" s="2">
        <v>35</v>
      </c>
      <c r="J467">
        <v>50</v>
      </c>
      <c r="K467">
        <v>5</v>
      </c>
      <c r="L467">
        <v>12</v>
      </c>
      <c r="M467" t="s">
        <v>35</v>
      </c>
      <c r="N467" t="s">
        <v>26</v>
      </c>
      <c r="O467">
        <v>74</v>
      </c>
      <c r="P467" t="s">
        <v>45</v>
      </c>
      <c r="Q467" t="s">
        <v>66</v>
      </c>
      <c r="R467" t="s">
        <v>22</v>
      </c>
      <c r="S467" t="s">
        <v>96</v>
      </c>
      <c r="T467" s="1">
        <v>46480</v>
      </c>
      <c r="U467">
        <f t="shared" si="42"/>
        <v>250</v>
      </c>
      <c r="V467">
        <f t="shared" si="43"/>
        <v>175</v>
      </c>
      <c r="W467">
        <f t="shared" si="44"/>
        <v>75</v>
      </c>
      <c r="X467" s="5">
        <f t="shared" si="45"/>
        <v>0.3</v>
      </c>
      <c r="Y467">
        <f t="shared" si="46"/>
        <v>2025</v>
      </c>
      <c r="Z467">
        <f t="shared" si="47"/>
        <v>10</v>
      </c>
    </row>
    <row r="468" spans="1:26" x14ac:dyDescent="0.3">
      <c r="A468" s="2">
        <v>1340</v>
      </c>
      <c r="B468" s="3">
        <v>45826</v>
      </c>
      <c r="C468" s="4" t="s">
        <v>31</v>
      </c>
      <c r="D468" s="4" t="s">
        <v>32</v>
      </c>
      <c r="E468" s="4" t="s">
        <v>33</v>
      </c>
      <c r="F468" s="4" t="s">
        <v>23</v>
      </c>
      <c r="G468" t="s">
        <v>34</v>
      </c>
      <c r="H468" s="2">
        <v>5</v>
      </c>
      <c r="I468" s="2">
        <v>140</v>
      </c>
      <c r="J468">
        <v>180</v>
      </c>
      <c r="K468">
        <v>10</v>
      </c>
      <c r="L468">
        <v>12</v>
      </c>
      <c r="M468" t="s">
        <v>35</v>
      </c>
      <c r="N468" t="s">
        <v>26</v>
      </c>
      <c r="O468">
        <v>28</v>
      </c>
      <c r="P468" t="s">
        <v>36</v>
      </c>
      <c r="Q468" t="s">
        <v>59</v>
      </c>
      <c r="R468" t="s">
        <v>86</v>
      </c>
      <c r="S468" t="s">
        <v>412</v>
      </c>
      <c r="T468" s="1">
        <v>46057</v>
      </c>
      <c r="U468">
        <f t="shared" si="42"/>
        <v>900</v>
      </c>
      <c r="V468">
        <f t="shared" si="43"/>
        <v>700</v>
      </c>
      <c r="W468">
        <f t="shared" si="44"/>
        <v>200</v>
      </c>
      <c r="X468" s="5">
        <f t="shared" si="45"/>
        <v>0.22222222222222221</v>
      </c>
      <c r="Y468">
        <f t="shared" si="46"/>
        <v>2025</v>
      </c>
      <c r="Z468">
        <f t="shared" si="47"/>
        <v>6</v>
      </c>
    </row>
    <row r="469" spans="1:26" x14ac:dyDescent="0.3">
      <c r="A469" s="2">
        <v>1349</v>
      </c>
      <c r="B469" s="3">
        <v>45946</v>
      </c>
      <c r="C469" s="4" t="s">
        <v>56</v>
      </c>
      <c r="D469" s="4" t="s">
        <v>57</v>
      </c>
      <c r="E469" s="4" t="s">
        <v>58</v>
      </c>
      <c r="F469" s="4" t="s">
        <v>23</v>
      </c>
      <c r="G469" t="s">
        <v>24</v>
      </c>
      <c r="H469" s="2">
        <v>5</v>
      </c>
      <c r="I469" s="2">
        <v>75</v>
      </c>
      <c r="J469">
        <v>100</v>
      </c>
      <c r="K469">
        <v>0</v>
      </c>
      <c r="L469">
        <v>12</v>
      </c>
      <c r="M469" t="s">
        <v>35</v>
      </c>
      <c r="N469" t="s">
        <v>26</v>
      </c>
      <c r="O469">
        <v>53</v>
      </c>
      <c r="P469" t="s">
        <v>45</v>
      </c>
      <c r="Q469" t="s">
        <v>37</v>
      </c>
      <c r="R469" t="s">
        <v>38</v>
      </c>
      <c r="S469" t="s">
        <v>421</v>
      </c>
      <c r="T469" s="1">
        <v>46467</v>
      </c>
      <c r="U469">
        <f t="shared" si="42"/>
        <v>500</v>
      </c>
      <c r="V469">
        <f t="shared" si="43"/>
        <v>375</v>
      </c>
      <c r="W469">
        <f t="shared" si="44"/>
        <v>125</v>
      </c>
      <c r="X469" s="5">
        <f t="shared" si="45"/>
        <v>0.25</v>
      </c>
      <c r="Y469">
        <f t="shared" si="46"/>
        <v>2025</v>
      </c>
      <c r="Z469">
        <f t="shared" si="47"/>
        <v>10</v>
      </c>
    </row>
    <row r="470" spans="1:26" x14ac:dyDescent="0.3">
      <c r="A470" s="2">
        <v>1352</v>
      </c>
      <c r="B470" s="3">
        <v>46002</v>
      </c>
      <c r="C470" s="4" t="s">
        <v>75</v>
      </c>
      <c r="D470" s="4" t="s">
        <v>41</v>
      </c>
      <c r="E470" s="4" t="s">
        <v>76</v>
      </c>
      <c r="F470" s="4" t="s">
        <v>23</v>
      </c>
      <c r="G470" t="s">
        <v>42</v>
      </c>
      <c r="H470" s="2">
        <v>5</v>
      </c>
      <c r="I470" s="2">
        <v>25</v>
      </c>
      <c r="J470">
        <v>35</v>
      </c>
      <c r="K470">
        <v>0</v>
      </c>
      <c r="L470">
        <v>12</v>
      </c>
      <c r="M470" t="s">
        <v>25</v>
      </c>
      <c r="N470" t="s">
        <v>44</v>
      </c>
      <c r="O470">
        <v>35</v>
      </c>
      <c r="P470" t="s">
        <v>45</v>
      </c>
      <c r="Q470" t="s">
        <v>59</v>
      </c>
      <c r="R470" t="s">
        <v>29</v>
      </c>
      <c r="S470" t="s">
        <v>416</v>
      </c>
      <c r="T470" s="1">
        <v>46291</v>
      </c>
      <c r="U470">
        <f t="shared" si="42"/>
        <v>175</v>
      </c>
      <c r="V470">
        <f t="shared" si="43"/>
        <v>125</v>
      </c>
      <c r="W470">
        <f t="shared" si="44"/>
        <v>50</v>
      </c>
      <c r="X470" s="5">
        <f t="shared" si="45"/>
        <v>0.2857142857142857</v>
      </c>
      <c r="Y470">
        <f t="shared" si="46"/>
        <v>2025</v>
      </c>
      <c r="Z470">
        <f t="shared" si="47"/>
        <v>12</v>
      </c>
    </row>
    <row r="471" spans="1:26" x14ac:dyDescent="0.3">
      <c r="A471" s="2">
        <v>1358</v>
      </c>
      <c r="B471" s="3">
        <v>45898</v>
      </c>
      <c r="C471" s="4" t="s">
        <v>75</v>
      </c>
      <c r="D471" s="4" t="s">
        <v>41</v>
      </c>
      <c r="E471" s="4" t="s">
        <v>76</v>
      </c>
      <c r="F471" s="4" t="s">
        <v>23</v>
      </c>
      <c r="G471" t="s">
        <v>42</v>
      </c>
      <c r="H471" s="2">
        <v>5</v>
      </c>
      <c r="I471" s="2">
        <v>25</v>
      </c>
      <c r="J471">
        <v>35</v>
      </c>
      <c r="K471">
        <v>0</v>
      </c>
      <c r="L471">
        <v>12</v>
      </c>
      <c r="M471" t="s">
        <v>43</v>
      </c>
      <c r="N471" t="s">
        <v>44</v>
      </c>
      <c r="O471">
        <v>36</v>
      </c>
      <c r="P471" t="s">
        <v>27</v>
      </c>
      <c r="Q471" t="s">
        <v>28</v>
      </c>
      <c r="R471" t="s">
        <v>54</v>
      </c>
      <c r="S471" t="s">
        <v>428</v>
      </c>
      <c r="T471" s="1">
        <v>46232</v>
      </c>
      <c r="U471">
        <f t="shared" si="42"/>
        <v>175</v>
      </c>
      <c r="V471">
        <f t="shared" si="43"/>
        <v>125</v>
      </c>
      <c r="W471">
        <f t="shared" si="44"/>
        <v>50</v>
      </c>
      <c r="X471" s="5">
        <f t="shared" si="45"/>
        <v>0.2857142857142857</v>
      </c>
      <c r="Y471">
        <f t="shared" si="46"/>
        <v>2025</v>
      </c>
      <c r="Z471">
        <f t="shared" si="47"/>
        <v>8</v>
      </c>
    </row>
    <row r="472" spans="1:26" x14ac:dyDescent="0.3">
      <c r="A472" s="2">
        <v>1359</v>
      </c>
      <c r="B472" s="3">
        <v>45973</v>
      </c>
      <c r="C472" s="4" t="s">
        <v>20</v>
      </c>
      <c r="D472" s="4" t="s">
        <v>21</v>
      </c>
      <c r="E472" s="4" t="s">
        <v>22</v>
      </c>
      <c r="F472" s="4" t="s">
        <v>23</v>
      </c>
      <c r="G472" t="s">
        <v>24</v>
      </c>
      <c r="H472" s="2">
        <v>5</v>
      </c>
      <c r="I472" s="2">
        <v>60</v>
      </c>
      <c r="J472">
        <v>85</v>
      </c>
      <c r="K472">
        <v>10</v>
      </c>
      <c r="L472">
        <v>12</v>
      </c>
      <c r="M472" t="s">
        <v>43</v>
      </c>
      <c r="N472" t="s">
        <v>44</v>
      </c>
      <c r="O472">
        <v>29</v>
      </c>
      <c r="P472" t="s">
        <v>27</v>
      </c>
      <c r="Q472" t="s">
        <v>66</v>
      </c>
      <c r="R472" t="s">
        <v>38</v>
      </c>
      <c r="S472" t="s">
        <v>429</v>
      </c>
      <c r="T472" s="1">
        <v>46677</v>
      </c>
      <c r="U472">
        <f t="shared" si="42"/>
        <v>425</v>
      </c>
      <c r="V472">
        <f t="shared" si="43"/>
        <v>300</v>
      </c>
      <c r="W472">
        <f t="shared" si="44"/>
        <v>125</v>
      </c>
      <c r="X472" s="5">
        <f t="shared" si="45"/>
        <v>0.29411764705882354</v>
      </c>
      <c r="Y472">
        <f t="shared" si="46"/>
        <v>2025</v>
      </c>
      <c r="Z472">
        <f t="shared" si="47"/>
        <v>11</v>
      </c>
    </row>
    <row r="473" spans="1:26" x14ac:dyDescent="0.3">
      <c r="A473" s="2">
        <v>1367</v>
      </c>
      <c r="B473" s="3">
        <v>45737</v>
      </c>
      <c r="C473" s="4" t="s">
        <v>79</v>
      </c>
      <c r="D473" s="4" t="s">
        <v>80</v>
      </c>
      <c r="E473" s="4" t="s">
        <v>81</v>
      </c>
      <c r="F473" s="4" t="s">
        <v>23</v>
      </c>
      <c r="G473" t="s">
        <v>82</v>
      </c>
      <c r="H473" s="2">
        <v>5</v>
      </c>
      <c r="I473" s="2">
        <v>80</v>
      </c>
      <c r="J473">
        <v>110</v>
      </c>
      <c r="K473">
        <v>5</v>
      </c>
      <c r="L473">
        <v>12</v>
      </c>
      <c r="M473" t="s">
        <v>35</v>
      </c>
      <c r="N473" t="s">
        <v>44</v>
      </c>
      <c r="O473">
        <v>33</v>
      </c>
      <c r="P473" t="s">
        <v>45</v>
      </c>
      <c r="Q473" t="s">
        <v>28</v>
      </c>
      <c r="R473" t="s">
        <v>22</v>
      </c>
      <c r="S473" t="s">
        <v>437</v>
      </c>
      <c r="T473" s="1">
        <v>46030</v>
      </c>
      <c r="U473">
        <f t="shared" si="42"/>
        <v>550</v>
      </c>
      <c r="V473">
        <f t="shared" si="43"/>
        <v>400</v>
      </c>
      <c r="W473">
        <f t="shared" si="44"/>
        <v>150</v>
      </c>
      <c r="X473" s="5">
        <f t="shared" si="45"/>
        <v>0.27272727272727271</v>
      </c>
      <c r="Y473">
        <f t="shared" si="46"/>
        <v>2025</v>
      </c>
      <c r="Z473">
        <f t="shared" si="47"/>
        <v>3</v>
      </c>
    </row>
    <row r="474" spans="1:26" x14ac:dyDescent="0.3">
      <c r="A474" s="2">
        <v>1368</v>
      </c>
      <c r="B474" s="3">
        <v>45998</v>
      </c>
      <c r="C474" s="4" t="s">
        <v>98</v>
      </c>
      <c r="D474" s="4" t="s">
        <v>41</v>
      </c>
      <c r="E474" s="4" t="s">
        <v>33</v>
      </c>
      <c r="F474" s="4" t="s">
        <v>23</v>
      </c>
      <c r="G474" t="s">
        <v>82</v>
      </c>
      <c r="H474" s="2">
        <v>5</v>
      </c>
      <c r="I474" s="2">
        <v>22</v>
      </c>
      <c r="J474">
        <v>32</v>
      </c>
      <c r="K474">
        <v>10</v>
      </c>
      <c r="L474">
        <v>12</v>
      </c>
      <c r="M474" t="s">
        <v>43</v>
      </c>
      <c r="N474" t="s">
        <v>44</v>
      </c>
      <c r="O474">
        <v>24</v>
      </c>
      <c r="P474" t="s">
        <v>27</v>
      </c>
      <c r="Q474" t="s">
        <v>66</v>
      </c>
      <c r="R474" t="s">
        <v>38</v>
      </c>
      <c r="S474" t="s">
        <v>438</v>
      </c>
      <c r="T474" s="1">
        <v>46565</v>
      </c>
      <c r="U474">
        <f t="shared" si="42"/>
        <v>160</v>
      </c>
      <c r="V474">
        <f t="shared" si="43"/>
        <v>110</v>
      </c>
      <c r="W474">
        <f t="shared" si="44"/>
        <v>50</v>
      </c>
      <c r="X474" s="5">
        <f t="shared" si="45"/>
        <v>0.3125</v>
      </c>
      <c r="Y474">
        <f t="shared" si="46"/>
        <v>2025</v>
      </c>
      <c r="Z474">
        <f t="shared" si="47"/>
        <v>12</v>
      </c>
    </row>
    <row r="475" spans="1:26" x14ac:dyDescent="0.3">
      <c r="A475" s="2">
        <v>1377</v>
      </c>
      <c r="B475" s="3">
        <v>45939</v>
      </c>
      <c r="C475" s="4" t="s">
        <v>84</v>
      </c>
      <c r="D475" s="4" t="s">
        <v>85</v>
      </c>
      <c r="E475" s="4" t="s">
        <v>63</v>
      </c>
      <c r="F475" s="4" t="s">
        <v>23</v>
      </c>
      <c r="G475" t="s">
        <v>82</v>
      </c>
      <c r="H475" s="2">
        <v>5</v>
      </c>
      <c r="I475" s="2">
        <v>45</v>
      </c>
      <c r="J475">
        <v>65</v>
      </c>
      <c r="K475">
        <v>5</v>
      </c>
      <c r="L475">
        <v>12</v>
      </c>
      <c r="M475" t="s">
        <v>25</v>
      </c>
      <c r="N475" t="s">
        <v>26</v>
      </c>
      <c r="O475">
        <v>55</v>
      </c>
      <c r="P475" t="s">
        <v>36</v>
      </c>
      <c r="Q475" t="s">
        <v>59</v>
      </c>
      <c r="R475" t="s">
        <v>29</v>
      </c>
      <c r="S475" t="s">
        <v>447</v>
      </c>
      <c r="T475" s="1">
        <v>46345</v>
      </c>
      <c r="U475">
        <f t="shared" si="42"/>
        <v>325</v>
      </c>
      <c r="V475">
        <f t="shared" si="43"/>
        <v>225</v>
      </c>
      <c r="W475">
        <f t="shared" si="44"/>
        <v>100</v>
      </c>
      <c r="X475" s="5">
        <f t="shared" si="45"/>
        <v>0.30769230769230771</v>
      </c>
      <c r="Y475">
        <f t="shared" si="46"/>
        <v>2025</v>
      </c>
      <c r="Z475">
        <f t="shared" si="47"/>
        <v>10</v>
      </c>
    </row>
    <row r="476" spans="1:26" x14ac:dyDescent="0.3">
      <c r="A476" s="2">
        <v>1380</v>
      </c>
      <c r="B476" s="3">
        <v>45822</v>
      </c>
      <c r="C476" s="4" t="s">
        <v>84</v>
      </c>
      <c r="D476" s="4" t="s">
        <v>85</v>
      </c>
      <c r="E476" s="4" t="s">
        <v>63</v>
      </c>
      <c r="F476" s="4" t="s">
        <v>23</v>
      </c>
      <c r="G476" t="s">
        <v>82</v>
      </c>
      <c r="H476" s="2">
        <v>5</v>
      </c>
      <c r="I476" s="2">
        <v>45</v>
      </c>
      <c r="J476">
        <v>65</v>
      </c>
      <c r="K476">
        <v>10</v>
      </c>
      <c r="L476">
        <v>12</v>
      </c>
      <c r="M476" t="s">
        <v>25</v>
      </c>
      <c r="N476" t="s">
        <v>26</v>
      </c>
      <c r="O476">
        <v>48</v>
      </c>
      <c r="P476" t="s">
        <v>45</v>
      </c>
      <c r="Q476" t="s">
        <v>66</v>
      </c>
      <c r="R476" t="s">
        <v>38</v>
      </c>
      <c r="S476" t="s">
        <v>450</v>
      </c>
      <c r="T476" s="1">
        <v>46529</v>
      </c>
      <c r="U476">
        <f t="shared" si="42"/>
        <v>325</v>
      </c>
      <c r="V476">
        <f t="shared" si="43"/>
        <v>225</v>
      </c>
      <c r="W476">
        <f t="shared" si="44"/>
        <v>100</v>
      </c>
      <c r="X476" s="5">
        <f t="shared" si="45"/>
        <v>0.30769230769230771</v>
      </c>
      <c r="Y476">
        <f t="shared" si="46"/>
        <v>2025</v>
      </c>
      <c r="Z476">
        <f t="shared" si="47"/>
        <v>6</v>
      </c>
    </row>
    <row r="477" spans="1:26" x14ac:dyDescent="0.3">
      <c r="A477" s="2">
        <v>1382</v>
      </c>
      <c r="B477" s="3">
        <v>45787</v>
      </c>
      <c r="C477" s="4" t="s">
        <v>84</v>
      </c>
      <c r="D477" s="4" t="s">
        <v>85</v>
      </c>
      <c r="E477" s="4" t="s">
        <v>63</v>
      </c>
      <c r="F477" s="4" t="s">
        <v>23</v>
      </c>
      <c r="G477" t="s">
        <v>82</v>
      </c>
      <c r="H477" s="2">
        <v>5</v>
      </c>
      <c r="I477" s="2">
        <v>45</v>
      </c>
      <c r="J477">
        <v>65</v>
      </c>
      <c r="K477">
        <v>0</v>
      </c>
      <c r="L477">
        <v>12</v>
      </c>
      <c r="M477" t="s">
        <v>25</v>
      </c>
      <c r="N477" t="s">
        <v>44</v>
      </c>
      <c r="O477">
        <v>62</v>
      </c>
      <c r="P477" t="s">
        <v>36</v>
      </c>
      <c r="Q477" t="s">
        <v>53</v>
      </c>
      <c r="R477" t="s">
        <v>22</v>
      </c>
      <c r="S477" t="s">
        <v>452</v>
      </c>
      <c r="T477" s="1">
        <v>46590</v>
      </c>
      <c r="U477">
        <f t="shared" si="42"/>
        <v>325</v>
      </c>
      <c r="V477">
        <f t="shared" si="43"/>
        <v>225</v>
      </c>
      <c r="W477">
        <f t="shared" si="44"/>
        <v>100</v>
      </c>
      <c r="X477" s="5">
        <f t="shared" si="45"/>
        <v>0.30769230769230771</v>
      </c>
      <c r="Y477">
        <f t="shared" si="46"/>
        <v>2025</v>
      </c>
      <c r="Z477">
        <f t="shared" si="47"/>
        <v>5</v>
      </c>
    </row>
    <row r="478" spans="1:26" x14ac:dyDescent="0.3">
      <c r="A478" s="2">
        <v>1386</v>
      </c>
      <c r="B478" s="3">
        <v>45996</v>
      </c>
      <c r="C478" s="4" t="s">
        <v>69</v>
      </c>
      <c r="D478" s="4" t="s">
        <v>48</v>
      </c>
      <c r="E478" s="4" t="s">
        <v>70</v>
      </c>
      <c r="F478" s="4" t="s">
        <v>50</v>
      </c>
      <c r="G478" t="s">
        <v>71</v>
      </c>
      <c r="H478" s="2">
        <v>5</v>
      </c>
      <c r="I478" s="2">
        <v>25</v>
      </c>
      <c r="J478">
        <v>38</v>
      </c>
      <c r="K478">
        <v>10</v>
      </c>
      <c r="L478">
        <v>12</v>
      </c>
      <c r="M478" t="s">
        <v>35</v>
      </c>
      <c r="N478" t="s">
        <v>26</v>
      </c>
      <c r="O478">
        <v>44</v>
      </c>
      <c r="P478" t="s">
        <v>27</v>
      </c>
      <c r="Q478" t="s">
        <v>37</v>
      </c>
      <c r="R478" t="s">
        <v>38</v>
      </c>
      <c r="S478" t="s">
        <v>456</v>
      </c>
      <c r="T478" s="1">
        <v>46472</v>
      </c>
      <c r="U478">
        <f t="shared" si="42"/>
        <v>190</v>
      </c>
      <c r="V478">
        <f t="shared" si="43"/>
        <v>125</v>
      </c>
      <c r="W478">
        <f t="shared" si="44"/>
        <v>65</v>
      </c>
      <c r="X478" s="5">
        <f t="shared" si="45"/>
        <v>0.34210526315789475</v>
      </c>
      <c r="Y478">
        <f t="shared" si="46"/>
        <v>2025</v>
      </c>
      <c r="Z478">
        <f t="shared" si="47"/>
        <v>12</v>
      </c>
    </row>
    <row r="479" spans="1:26" x14ac:dyDescent="0.3">
      <c r="A479" s="2">
        <v>1388</v>
      </c>
      <c r="B479" s="3">
        <v>45708</v>
      </c>
      <c r="C479" s="4" t="s">
        <v>75</v>
      </c>
      <c r="D479" s="4" t="s">
        <v>41</v>
      </c>
      <c r="E479" s="4" t="s">
        <v>76</v>
      </c>
      <c r="F479" s="4" t="s">
        <v>23</v>
      </c>
      <c r="G479" t="s">
        <v>42</v>
      </c>
      <c r="H479" s="2">
        <v>5</v>
      </c>
      <c r="I479" s="2">
        <v>25</v>
      </c>
      <c r="J479">
        <v>35</v>
      </c>
      <c r="K479">
        <v>10</v>
      </c>
      <c r="L479">
        <v>12</v>
      </c>
      <c r="M479" t="s">
        <v>43</v>
      </c>
      <c r="N479" t="s">
        <v>26</v>
      </c>
      <c r="O479">
        <v>63</v>
      </c>
      <c r="P479" t="s">
        <v>27</v>
      </c>
      <c r="Q479" t="s">
        <v>66</v>
      </c>
      <c r="R479" t="s">
        <v>22</v>
      </c>
      <c r="S479" t="s">
        <v>457</v>
      </c>
      <c r="T479" s="1">
        <v>45920</v>
      </c>
      <c r="U479">
        <f t="shared" si="42"/>
        <v>175</v>
      </c>
      <c r="V479">
        <f t="shared" si="43"/>
        <v>125</v>
      </c>
      <c r="W479">
        <f t="shared" si="44"/>
        <v>50</v>
      </c>
      <c r="X479" s="5">
        <f t="shared" si="45"/>
        <v>0.2857142857142857</v>
      </c>
      <c r="Y479">
        <f t="shared" si="46"/>
        <v>2025</v>
      </c>
      <c r="Z479">
        <f t="shared" si="47"/>
        <v>2</v>
      </c>
    </row>
    <row r="480" spans="1:26" x14ac:dyDescent="0.3">
      <c r="A480" s="2">
        <v>1389</v>
      </c>
      <c r="B480" s="3">
        <v>45678</v>
      </c>
      <c r="C480" s="4" t="s">
        <v>47</v>
      </c>
      <c r="D480" s="4" t="s">
        <v>48</v>
      </c>
      <c r="E480" s="4" t="s">
        <v>49</v>
      </c>
      <c r="F480" s="4" t="s">
        <v>50</v>
      </c>
      <c r="G480" t="s">
        <v>51</v>
      </c>
      <c r="H480" s="2">
        <v>5</v>
      </c>
      <c r="I480" s="2">
        <v>35</v>
      </c>
      <c r="J480">
        <v>50</v>
      </c>
      <c r="K480">
        <v>5</v>
      </c>
      <c r="L480">
        <v>12</v>
      </c>
      <c r="M480" t="s">
        <v>25</v>
      </c>
      <c r="N480" t="s">
        <v>44</v>
      </c>
      <c r="O480">
        <v>44</v>
      </c>
      <c r="P480" t="s">
        <v>27</v>
      </c>
      <c r="Q480" t="s">
        <v>28</v>
      </c>
      <c r="R480" t="s">
        <v>86</v>
      </c>
      <c r="S480" t="s">
        <v>458</v>
      </c>
      <c r="T480" s="1">
        <v>45891</v>
      </c>
      <c r="U480">
        <f t="shared" si="42"/>
        <v>250</v>
      </c>
      <c r="V480">
        <f t="shared" si="43"/>
        <v>175</v>
      </c>
      <c r="W480">
        <f t="shared" si="44"/>
        <v>75</v>
      </c>
      <c r="X480" s="5">
        <f t="shared" si="45"/>
        <v>0.3</v>
      </c>
      <c r="Y480">
        <f t="shared" si="46"/>
        <v>2025</v>
      </c>
      <c r="Z480">
        <f t="shared" si="47"/>
        <v>1</v>
      </c>
    </row>
    <row r="481" spans="1:26" x14ac:dyDescent="0.3">
      <c r="A481" s="2">
        <v>1391</v>
      </c>
      <c r="B481" s="3">
        <v>45907</v>
      </c>
      <c r="C481" s="4" t="s">
        <v>84</v>
      </c>
      <c r="D481" s="4" t="s">
        <v>85</v>
      </c>
      <c r="E481" s="4" t="s">
        <v>63</v>
      </c>
      <c r="F481" s="4" t="s">
        <v>23</v>
      </c>
      <c r="G481" t="s">
        <v>82</v>
      </c>
      <c r="H481" s="2">
        <v>5</v>
      </c>
      <c r="I481" s="2">
        <v>45</v>
      </c>
      <c r="J481">
        <v>65</v>
      </c>
      <c r="K481">
        <v>0</v>
      </c>
      <c r="L481">
        <v>12</v>
      </c>
      <c r="M481" t="s">
        <v>35</v>
      </c>
      <c r="N481" t="s">
        <v>44</v>
      </c>
      <c r="O481">
        <v>19</v>
      </c>
      <c r="P481" t="s">
        <v>36</v>
      </c>
      <c r="Q481" t="s">
        <v>37</v>
      </c>
      <c r="R481" t="s">
        <v>54</v>
      </c>
      <c r="S481" t="s">
        <v>460</v>
      </c>
      <c r="T481" s="1">
        <v>46571</v>
      </c>
      <c r="U481">
        <f t="shared" si="42"/>
        <v>325</v>
      </c>
      <c r="V481">
        <f t="shared" si="43"/>
        <v>225</v>
      </c>
      <c r="W481">
        <f t="shared" si="44"/>
        <v>100</v>
      </c>
      <c r="X481" s="5">
        <f t="shared" si="45"/>
        <v>0.30769230769230771</v>
      </c>
      <c r="Y481">
        <f t="shared" si="46"/>
        <v>2025</v>
      </c>
      <c r="Z481">
        <f t="shared" si="47"/>
        <v>9</v>
      </c>
    </row>
    <row r="482" spans="1:26" x14ac:dyDescent="0.3">
      <c r="A482" s="2">
        <v>1392</v>
      </c>
      <c r="B482" s="3">
        <v>45751</v>
      </c>
      <c r="C482" s="4" t="s">
        <v>84</v>
      </c>
      <c r="D482" s="4" t="s">
        <v>85</v>
      </c>
      <c r="E482" s="4" t="s">
        <v>63</v>
      </c>
      <c r="F482" s="4" t="s">
        <v>23</v>
      </c>
      <c r="G482" t="s">
        <v>82</v>
      </c>
      <c r="H482" s="2">
        <v>5</v>
      </c>
      <c r="I482" s="2">
        <v>45</v>
      </c>
      <c r="J482">
        <v>65</v>
      </c>
      <c r="K482">
        <v>10</v>
      </c>
      <c r="L482">
        <v>12</v>
      </c>
      <c r="M482" t="s">
        <v>35</v>
      </c>
      <c r="N482" t="s">
        <v>26</v>
      </c>
      <c r="O482">
        <v>31</v>
      </c>
      <c r="P482" t="s">
        <v>36</v>
      </c>
      <c r="Q482" t="s">
        <v>37</v>
      </c>
      <c r="R482" t="s">
        <v>86</v>
      </c>
      <c r="S482" t="s">
        <v>461</v>
      </c>
      <c r="T482" s="1">
        <v>46032</v>
      </c>
      <c r="U482">
        <f t="shared" si="42"/>
        <v>325</v>
      </c>
      <c r="V482">
        <f t="shared" si="43"/>
        <v>225</v>
      </c>
      <c r="W482">
        <f t="shared" si="44"/>
        <v>100</v>
      </c>
      <c r="X482" s="5">
        <f t="shared" si="45"/>
        <v>0.30769230769230771</v>
      </c>
      <c r="Y482">
        <f t="shared" si="46"/>
        <v>2025</v>
      </c>
      <c r="Z482">
        <f t="shared" si="47"/>
        <v>4</v>
      </c>
    </row>
    <row r="483" spans="1:26" x14ac:dyDescent="0.3">
      <c r="A483" s="2">
        <v>1398</v>
      </c>
      <c r="B483" s="3">
        <v>45918</v>
      </c>
      <c r="C483" s="4" t="s">
        <v>108</v>
      </c>
      <c r="D483" s="4" t="s">
        <v>32</v>
      </c>
      <c r="E483" s="4" t="s">
        <v>109</v>
      </c>
      <c r="F483" s="4" t="s">
        <v>23</v>
      </c>
      <c r="G483" t="s">
        <v>82</v>
      </c>
      <c r="H483" s="2">
        <v>5</v>
      </c>
      <c r="I483" s="2">
        <v>90</v>
      </c>
      <c r="J483">
        <v>120</v>
      </c>
      <c r="K483">
        <v>5</v>
      </c>
      <c r="L483">
        <v>12</v>
      </c>
      <c r="M483" t="s">
        <v>43</v>
      </c>
      <c r="N483" t="s">
        <v>26</v>
      </c>
      <c r="O483">
        <v>43</v>
      </c>
      <c r="P483" t="s">
        <v>45</v>
      </c>
      <c r="Q483" t="s">
        <v>66</v>
      </c>
      <c r="R483" t="s">
        <v>29</v>
      </c>
      <c r="S483" t="s">
        <v>467</v>
      </c>
      <c r="T483" s="1">
        <v>46717</v>
      </c>
      <c r="U483">
        <f t="shared" si="42"/>
        <v>600</v>
      </c>
      <c r="V483">
        <f t="shared" si="43"/>
        <v>450</v>
      </c>
      <c r="W483">
        <f t="shared" si="44"/>
        <v>150</v>
      </c>
      <c r="X483" s="5">
        <f t="shared" si="45"/>
        <v>0.25</v>
      </c>
      <c r="Y483">
        <f t="shared" si="46"/>
        <v>2025</v>
      </c>
      <c r="Z483">
        <f t="shared" si="47"/>
        <v>9</v>
      </c>
    </row>
    <row r="484" spans="1:26" x14ac:dyDescent="0.3">
      <c r="A484" s="2">
        <v>1399</v>
      </c>
      <c r="B484" s="3">
        <v>46016</v>
      </c>
      <c r="C484" s="4" t="s">
        <v>61</v>
      </c>
      <c r="D484" s="4" t="s">
        <v>62</v>
      </c>
      <c r="E484" s="4" t="s">
        <v>63</v>
      </c>
      <c r="F484" s="4" t="s">
        <v>23</v>
      </c>
      <c r="G484" t="s">
        <v>64</v>
      </c>
      <c r="H484" s="2">
        <v>5</v>
      </c>
      <c r="I484" s="2">
        <v>12</v>
      </c>
      <c r="J484">
        <v>20</v>
      </c>
      <c r="K484">
        <v>0</v>
      </c>
      <c r="L484">
        <v>12</v>
      </c>
      <c r="M484" t="s">
        <v>43</v>
      </c>
      <c r="N484" t="s">
        <v>44</v>
      </c>
      <c r="O484">
        <v>34</v>
      </c>
      <c r="P484" t="s">
        <v>45</v>
      </c>
      <c r="Q484" t="s">
        <v>59</v>
      </c>
      <c r="R484" t="s">
        <v>29</v>
      </c>
      <c r="S484" t="s">
        <v>468</v>
      </c>
      <c r="T484" s="1">
        <v>46899</v>
      </c>
      <c r="U484">
        <f t="shared" si="42"/>
        <v>100</v>
      </c>
      <c r="V484">
        <f t="shared" si="43"/>
        <v>60</v>
      </c>
      <c r="W484">
        <f t="shared" si="44"/>
        <v>40</v>
      </c>
      <c r="X484" s="5">
        <f t="shared" si="45"/>
        <v>0.4</v>
      </c>
      <c r="Y484">
        <f t="shared" si="46"/>
        <v>2025</v>
      </c>
      <c r="Z484">
        <f t="shared" si="47"/>
        <v>12</v>
      </c>
    </row>
    <row r="485" spans="1:26" x14ac:dyDescent="0.3">
      <c r="A485" s="2">
        <v>1413</v>
      </c>
      <c r="B485" s="3">
        <v>45976</v>
      </c>
      <c r="C485" s="4" t="s">
        <v>92</v>
      </c>
      <c r="D485" s="4" t="s">
        <v>48</v>
      </c>
      <c r="E485" s="4" t="s">
        <v>54</v>
      </c>
      <c r="F485" s="4" t="s">
        <v>23</v>
      </c>
      <c r="G485" t="s">
        <v>82</v>
      </c>
      <c r="H485" s="2">
        <v>5</v>
      </c>
      <c r="I485" s="2">
        <v>18</v>
      </c>
      <c r="J485">
        <v>28</v>
      </c>
      <c r="K485">
        <v>5</v>
      </c>
      <c r="L485">
        <v>12</v>
      </c>
      <c r="M485" t="s">
        <v>43</v>
      </c>
      <c r="N485" t="s">
        <v>26</v>
      </c>
      <c r="O485">
        <v>52</v>
      </c>
      <c r="P485" t="s">
        <v>27</v>
      </c>
      <c r="Q485" t="s">
        <v>53</v>
      </c>
      <c r="R485" t="s">
        <v>29</v>
      </c>
      <c r="S485" t="s">
        <v>482</v>
      </c>
      <c r="T485" s="1">
        <v>46214</v>
      </c>
      <c r="U485">
        <f t="shared" si="42"/>
        <v>140</v>
      </c>
      <c r="V485">
        <f t="shared" si="43"/>
        <v>90</v>
      </c>
      <c r="W485">
        <f t="shared" si="44"/>
        <v>50</v>
      </c>
      <c r="X485" s="5">
        <f t="shared" si="45"/>
        <v>0.35714285714285715</v>
      </c>
      <c r="Y485">
        <f t="shared" si="46"/>
        <v>2025</v>
      </c>
      <c r="Z485">
        <f t="shared" si="47"/>
        <v>11</v>
      </c>
    </row>
    <row r="486" spans="1:26" x14ac:dyDescent="0.3">
      <c r="A486" s="2">
        <v>1414</v>
      </c>
      <c r="B486" s="3">
        <v>46002</v>
      </c>
      <c r="C486" s="4" t="s">
        <v>134</v>
      </c>
      <c r="D486" s="4" t="s">
        <v>21</v>
      </c>
      <c r="E486" s="4" t="s">
        <v>29</v>
      </c>
      <c r="F486" s="4" t="s">
        <v>50</v>
      </c>
      <c r="G486" t="s">
        <v>24</v>
      </c>
      <c r="H486" s="2">
        <v>5</v>
      </c>
      <c r="I486" s="2">
        <v>70</v>
      </c>
      <c r="J486">
        <v>95</v>
      </c>
      <c r="K486">
        <v>10</v>
      </c>
      <c r="L486">
        <v>12</v>
      </c>
      <c r="M486" t="s">
        <v>35</v>
      </c>
      <c r="N486" t="s">
        <v>26</v>
      </c>
      <c r="O486">
        <v>68</v>
      </c>
      <c r="P486" t="s">
        <v>45</v>
      </c>
      <c r="Q486" t="s">
        <v>66</v>
      </c>
      <c r="R486" t="s">
        <v>86</v>
      </c>
      <c r="S486" t="s">
        <v>462</v>
      </c>
      <c r="T486" s="1">
        <v>46315</v>
      </c>
      <c r="U486">
        <f t="shared" si="42"/>
        <v>475</v>
      </c>
      <c r="V486">
        <f t="shared" si="43"/>
        <v>350</v>
      </c>
      <c r="W486">
        <f t="shared" si="44"/>
        <v>125</v>
      </c>
      <c r="X486" s="5">
        <f t="shared" si="45"/>
        <v>0.26315789473684209</v>
      </c>
      <c r="Y486">
        <f t="shared" si="46"/>
        <v>2025</v>
      </c>
      <c r="Z486">
        <f t="shared" si="47"/>
        <v>12</v>
      </c>
    </row>
    <row r="487" spans="1:26" x14ac:dyDescent="0.3">
      <c r="A487" s="2">
        <v>1417</v>
      </c>
      <c r="B487" s="3">
        <v>46019</v>
      </c>
      <c r="C487" s="4" t="s">
        <v>47</v>
      </c>
      <c r="D487" s="4" t="s">
        <v>48</v>
      </c>
      <c r="E487" s="4" t="s">
        <v>49</v>
      </c>
      <c r="F487" s="4" t="s">
        <v>50</v>
      </c>
      <c r="G487" t="s">
        <v>51</v>
      </c>
      <c r="H487" s="2">
        <v>5</v>
      </c>
      <c r="I487" s="2">
        <v>35</v>
      </c>
      <c r="J487">
        <v>50</v>
      </c>
      <c r="K487">
        <v>5</v>
      </c>
      <c r="L487">
        <v>12</v>
      </c>
      <c r="M487" t="s">
        <v>35</v>
      </c>
      <c r="N487" t="s">
        <v>26</v>
      </c>
      <c r="O487">
        <v>56</v>
      </c>
      <c r="P487" t="s">
        <v>27</v>
      </c>
      <c r="Q487" t="s">
        <v>37</v>
      </c>
      <c r="R487" t="s">
        <v>38</v>
      </c>
      <c r="S487" t="s">
        <v>485</v>
      </c>
      <c r="T487" s="1">
        <v>46819</v>
      </c>
      <c r="U487">
        <f t="shared" si="42"/>
        <v>250</v>
      </c>
      <c r="V487">
        <f t="shared" si="43"/>
        <v>175</v>
      </c>
      <c r="W487">
        <f t="shared" si="44"/>
        <v>75</v>
      </c>
      <c r="X487" s="5">
        <f t="shared" si="45"/>
        <v>0.3</v>
      </c>
      <c r="Y487">
        <f t="shared" si="46"/>
        <v>2025</v>
      </c>
      <c r="Z487">
        <f t="shared" si="47"/>
        <v>12</v>
      </c>
    </row>
    <row r="488" spans="1:26" x14ac:dyDescent="0.3">
      <c r="A488" s="2">
        <v>1423</v>
      </c>
      <c r="B488" s="3">
        <v>45693</v>
      </c>
      <c r="C488" s="4" t="s">
        <v>61</v>
      </c>
      <c r="D488" s="4" t="s">
        <v>62</v>
      </c>
      <c r="E488" s="4" t="s">
        <v>63</v>
      </c>
      <c r="F488" s="4" t="s">
        <v>23</v>
      </c>
      <c r="G488" t="s">
        <v>64</v>
      </c>
      <c r="H488" s="2">
        <v>5</v>
      </c>
      <c r="I488" s="2">
        <v>12</v>
      </c>
      <c r="J488">
        <v>20</v>
      </c>
      <c r="K488">
        <v>5</v>
      </c>
      <c r="L488">
        <v>12</v>
      </c>
      <c r="M488" t="s">
        <v>43</v>
      </c>
      <c r="N488" t="s">
        <v>44</v>
      </c>
      <c r="O488">
        <v>70</v>
      </c>
      <c r="P488" t="s">
        <v>36</v>
      </c>
      <c r="Q488" t="s">
        <v>53</v>
      </c>
      <c r="R488" t="s">
        <v>38</v>
      </c>
      <c r="S488" t="s">
        <v>491</v>
      </c>
      <c r="T488" s="1">
        <v>46338</v>
      </c>
      <c r="U488">
        <f t="shared" si="42"/>
        <v>100</v>
      </c>
      <c r="V488">
        <f t="shared" si="43"/>
        <v>60</v>
      </c>
      <c r="W488">
        <f t="shared" si="44"/>
        <v>40</v>
      </c>
      <c r="X488" s="5">
        <f t="shared" si="45"/>
        <v>0.4</v>
      </c>
      <c r="Y488">
        <f t="shared" si="46"/>
        <v>2025</v>
      </c>
      <c r="Z488">
        <f t="shared" si="47"/>
        <v>2</v>
      </c>
    </row>
    <row r="489" spans="1:26" x14ac:dyDescent="0.3">
      <c r="A489" s="2">
        <v>1431</v>
      </c>
      <c r="B489" s="3">
        <v>45972</v>
      </c>
      <c r="C489" s="4" t="s">
        <v>61</v>
      </c>
      <c r="D489" s="4" t="s">
        <v>62</v>
      </c>
      <c r="E489" s="4" t="s">
        <v>63</v>
      </c>
      <c r="F489" s="4" t="s">
        <v>23</v>
      </c>
      <c r="G489" t="s">
        <v>64</v>
      </c>
      <c r="H489" s="2">
        <v>5</v>
      </c>
      <c r="I489" s="2">
        <v>12</v>
      </c>
      <c r="J489">
        <v>20</v>
      </c>
      <c r="K489">
        <v>0</v>
      </c>
      <c r="L489">
        <v>12</v>
      </c>
      <c r="M489" t="s">
        <v>43</v>
      </c>
      <c r="N489" t="s">
        <v>44</v>
      </c>
      <c r="O489">
        <v>55</v>
      </c>
      <c r="P489" t="s">
        <v>45</v>
      </c>
      <c r="Q489" t="s">
        <v>37</v>
      </c>
      <c r="R489" t="s">
        <v>54</v>
      </c>
      <c r="S489" t="s">
        <v>499</v>
      </c>
      <c r="T489" s="1">
        <v>46441</v>
      </c>
      <c r="U489">
        <f t="shared" si="42"/>
        <v>100</v>
      </c>
      <c r="V489">
        <f t="shared" si="43"/>
        <v>60</v>
      </c>
      <c r="W489">
        <f t="shared" si="44"/>
        <v>40</v>
      </c>
      <c r="X489" s="5">
        <f t="shared" si="45"/>
        <v>0.4</v>
      </c>
      <c r="Y489">
        <f t="shared" si="46"/>
        <v>2025</v>
      </c>
      <c r="Z489">
        <f t="shared" si="47"/>
        <v>11</v>
      </c>
    </row>
    <row r="490" spans="1:26" x14ac:dyDescent="0.3">
      <c r="A490" s="2">
        <v>1433</v>
      </c>
      <c r="B490" s="3">
        <v>45886</v>
      </c>
      <c r="C490" s="4" t="s">
        <v>20</v>
      </c>
      <c r="D490" s="4" t="s">
        <v>21</v>
      </c>
      <c r="E490" s="4" t="s">
        <v>22</v>
      </c>
      <c r="F490" s="4" t="s">
        <v>23</v>
      </c>
      <c r="G490" t="s">
        <v>24</v>
      </c>
      <c r="H490" s="2">
        <v>5</v>
      </c>
      <c r="I490" s="2">
        <v>60</v>
      </c>
      <c r="J490">
        <v>85</v>
      </c>
      <c r="K490">
        <v>0</v>
      </c>
      <c r="L490">
        <v>12</v>
      </c>
      <c r="M490" t="s">
        <v>35</v>
      </c>
      <c r="N490" t="s">
        <v>26</v>
      </c>
      <c r="O490">
        <v>28</v>
      </c>
      <c r="P490" t="s">
        <v>45</v>
      </c>
      <c r="Q490" t="s">
        <v>37</v>
      </c>
      <c r="R490" t="s">
        <v>22</v>
      </c>
      <c r="S490" t="s">
        <v>501</v>
      </c>
      <c r="T490" s="1">
        <v>46382</v>
      </c>
      <c r="U490">
        <f t="shared" si="42"/>
        <v>425</v>
      </c>
      <c r="V490">
        <f t="shared" si="43"/>
        <v>300</v>
      </c>
      <c r="W490">
        <f t="shared" si="44"/>
        <v>125</v>
      </c>
      <c r="X490" s="5">
        <f t="shared" si="45"/>
        <v>0.29411764705882354</v>
      </c>
      <c r="Y490">
        <f t="shared" si="46"/>
        <v>2025</v>
      </c>
      <c r="Z490">
        <f t="shared" si="47"/>
        <v>8</v>
      </c>
    </row>
    <row r="491" spans="1:26" x14ac:dyDescent="0.3">
      <c r="A491" s="2">
        <v>1435</v>
      </c>
      <c r="B491" s="3">
        <v>45713</v>
      </c>
      <c r="C491" s="4" t="s">
        <v>31</v>
      </c>
      <c r="D491" s="4" t="s">
        <v>32</v>
      </c>
      <c r="E491" s="4" t="s">
        <v>33</v>
      </c>
      <c r="F491" s="4" t="s">
        <v>23</v>
      </c>
      <c r="G491" t="s">
        <v>34</v>
      </c>
      <c r="H491" s="2">
        <v>5</v>
      </c>
      <c r="I491" s="2">
        <v>140</v>
      </c>
      <c r="J491">
        <v>180</v>
      </c>
      <c r="K491">
        <v>10</v>
      </c>
      <c r="L491">
        <v>12</v>
      </c>
      <c r="M491" t="s">
        <v>25</v>
      </c>
      <c r="N491" t="s">
        <v>44</v>
      </c>
      <c r="O491">
        <v>70</v>
      </c>
      <c r="P491" t="s">
        <v>27</v>
      </c>
      <c r="Q491" t="s">
        <v>53</v>
      </c>
      <c r="R491" t="s">
        <v>38</v>
      </c>
      <c r="S491" t="s">
        <v>503</v>
      </c>
      <c r="T491" s="1">
        <v>46518</v>
      </c>
      <c r="U491">
        <f t="shared" si="42"/>
        <v>900</v>
      </c>
      <c r="V491">
        <f t="shared" si="43"/>
        <v>700</v>
      </c>
      <c r="W491">
        <f t="shared" si="44"/>
        <v>200</v>
      </c>
      <c r="X491" s="5">
        <f t="shared" si="45"/>
        <v>0.22222222222222221</v>
      </c>
      <c r="Y491">
        <f t="shared" si="46"/>
        <v>2025</v>
      </c>
      <c r="Z491">
        <f t="shared" si="47"/>
        <v>2</v>
      </c>
    </row>
    <row r="492" spans="1:26" x14ac:dyDescent="0.3">
      <c r="A492" s="2">
        <v>1437</v>
      </c>
      <c r="B492" s="3">
        <v>45668</v>
      </c>
      <c r="C492" s="4" t="s">
        <v>56</v>
      </c>
      <c r="D492" s="4" t="s">
        <v>57</v>
      </c>
      <c r="E492" s="4" t="s">
        <v>58</v>
      </c>
      <c r="F492" s="4" t="s">
        <v>23</v>
      </c>
      <c r="G492" t="s">
        <v>24</v>
      </c>
      <c r="H492" s="2">
        <v>5</v>
      </c>
      <c r="I492" s="2">
        <v>75</v>
      </c>
      <c r="J492">
        <v>100</v>
      </c>
      <c r="K492">
        <v>10</v>
      </c>
      <c r="L492">
        <v>12</v>
      </c>
      <c r="M492" t="s">
        <v>43</v>
      </c>
      <c r="N492" t="s">
        <v>26</v>
      </c>
      <c r="O492">
        <v>29</v>
      </c>
      <c r="P492" t="s">
        <v>52</v>
      </c>
      <c r="Q492" t="s">
        <v>66</v>
      </c>
      <c r="R492" t="s">
        <v>38</v>
      </c>
      <c r="S492" t="s">
        <v>505</v>
      </c>
      <c r="T492" s="1">
        <v>46069</v>
      </c>
      <c r="U492">
        <f t="shared" si="42"/>
        <v>500</v>
      </c>
      <c r="V492">
        <f t="shared" si="43"/>
        <v>375</v>
      </c>
      <c r="W492">
        <f t="shared" si="44"/>
        <v>125</v>
      </c>
      <c r="X492" s="5">
        <f t="shared" si="45"/>
        <v>0.25</v>
      </c>
      <c r="Y492">
        <f t="shared" si="46"/>
        <v>2025</v>
      </c>
      <c r="Z492">
        <f t="shared" si="47"/>
        <v>1</v>
      </c>
    </row>
    <row r="493" spans="1:26" x14ac:dyDescent="0.3">
      <c r="A493" s="2">
        <v>1439</v>
      </c>
      <c r="B493" s="3">
        <v>45973</v>
      </c>
      <c r="C493" s="4" t="s">
        <v>84</v>
      </c>
      <c r="D493" s="4" t="s">
        <v>85</v>
      </c>
      <c r="E493" s="4" t="s">
        <v>63</v>
      </c>
      <c r="F493" s="4" t="s">
        <v>23</v>
      </c>
      <c r="G493" t="s">
        <v>82</v>
      </c>
      <c r="H493" s="2">
        <v>5</v>
      </c>
      <c r="I493" s="2">
        <v>45</v>
      </c>
      <c r="J493">
        <v>65</v>
      </c>
      <c r="K493">
        <v>0</v>
      </c>
      <c r="L493">
        <v>12</v>
      </c>
      <c r="M493" t="s">
        <v>43</v>
      </c>
      <c r="N493" t="s">
        <v>26</v>
      </c>
      <c r="O493">
        <v>68</v>
      </c>
      <c r="P493" t="s">
        <v>36</v>
      </c>
      <c r="Q493" t="s">
        <v>59</v>
      </c>
      <c r="R493" t="s">
        <v>38</v>
      </c>
      <c r="S493" t="s">
        <v>507</v>
      </c>
      <c r="T493" s="1">
        <v>46460</v>
      </c>
      <c r="U493">
        <f t="shared" si="42"/>
        <v>325</v>
      </c>
      <c r="V493">
        <f t="shared" si="43"/>
        <v>225</v>
      </c>
      <c r="W493">
        <f t="shared" si="44"/>
        <v>100</v>
      </c>
      <c r="X493" s="5">
        <f t="shared" si="45"/>
        <v>0.30769230769230771</v>
      </c>
      <c r="Y493">
        <f t="shared" si="46"/>
        <v>2025</v>
      </c>
      <c r="Z493">
        <f t="shared" si="47"/>
        <v>11</v>
      </c>
    </row>
    <row r="494" spans="1:26" x14ac:dyDescent="0.3">
      <c r="A494" s="2">
        <v>1447</v>
      </c>
      <c r="B494" s="3">
        <v>45710</v>
      </c>
      <c r="C494" s="4" t="s">
        <v>40</v>
      </c>
      <c r="D494" s="4" t="s">
        <v>41</v>
      </c>
      <c r="E494" s="4" t="s">
        <v>33</v>
      </c>
      <c r="F494" s="4" t="s">
        <v>23</v>
      </c>
      <c r="G494" t="s">
        <v>42</v>
      </c>
      <c r="H494" s="2">
        <v>5</v>
      </c>
      <c r="I494" s="2">
        <v>24</v>
      </c>
      <c r="J494">
        <v>34</v>
      </c>
      <c r="K494">
        <v>0</v>
      </c>
      <c r="L494">
        <v>12</v>
      </c>
      <c r="M494" t="s">
        <v>35</v>
      </c>
      <c r="N494" t="s">
        <v>44</v>
      </c>
      <c r="O494">
        <v>70</v>
      </c>
      <c r="P494" t="s">
        <v>45</v>
      </c>
      <c r="Q494" t="s">
        <v>53</v>
      </c>
      <c r="R494" t="s">
        <v>29</v>
      </c>
      <c r="S494" t="s">
        <v>515</v>
      </c>
      <c r="T494" s="1">
        <v>46427</v>
      </c>
      <c r="U494">
        <f t="shared" si="42"/>
        <v>170</v>
      </c>
      <c r="V494">
        <f t="shared" si="43"/>
        <v>120</v>
      </c>
      <c r="W494">
        <f t="shared" si="44"/>
        <v>50</v>
      </c>
      <c r="X494" s="5">
        <f t="shared" si="45"/>
        <v>0.29411764705882354</v>
      </c>
      <c r="Y494">
        <f t="shared" si="46"/>
        <v>2025</v>
      </c>
      <c r="Z494">
        <f t="shared" si="47"/>
        <v>2</v>
      </c>
    </row>
    <row r="495" spans="1:26" x14ac:dyDescent="0.3">
      <c r="A495" s="2">
        <v>1453</v>
      </c>
      <c r="B495" s="3">
        <v>45735</v>
      </c>
      <c r="C495" s="4" t="s">
        <v>98</v>
      </c>
      <c r="D495" s="4" t="s">
        <v>41</v>
      </c>
      <c r="E495" s="4" t="s">
        <v>33</v>
      </c>
      <c r="F495" s="4" t="s">
        <v>23</v>
      </c>
      <c r="G495" t="s">
        <v>82</v>
      </c>
      <c r="H495" s="2">
        <v>5</v>
      </c>
      <c r="I495" s="2">
        <v>22</v>
      </c>
      <c r="J495">
        <v>32</v>
      </c>
      <c r="K495">
        <v>0</v>
      </c>
      <c r="L495">
        <v>12</v>
      </c>
      <c r="M495" t="s">
        <v>35</v>
      </c>
      <c r="N495" t="s">
        <v>44</v>
      </c>
      <c r="O495">
        <v>30</v>
      </c>
      <c r="P495" t="s">
        <v>36</v>
      </c>
      <c r="Q495" t="s">
        <v>28</v>
      </c>
      <c r="R495" t="s">
        <v>54</v>
      </c>
      <c r="S495" t="s">
        <v>521</v>
      </c>
      <c r="T495" s="1">
        <v>46243</v>
      </c>
      <c r="U495">
        <f t="shared" si="42"/>
        <v>160</v>
      </c>
      <c r="V495">
        <f t="shared" si="43"/>
        <v>110</v>
      </c>
      <c r="W495">
        <f t="shared" si="44"/>
        <v>50</v>
      </c>
      <c r="X495" s="5">
        <f t="shared" si="45"/>
        <v>0.3125</v>
      </c>
      <c r="Y495">
        <f t="shared" si="46"/>
        <v>2025</v>
      </c>
      <c r="Z495">
        <f t="shared" si="47"/>
        <v>3</v>
      </c>
    </row>
    <row r="496" spans="1:26" x14ac:dyDescent="0.3">
      <c r="A496" s="2">
        <v>1475</v>
      </c>
      <c r="B496" s="3">
        <v>45793</v>
      </c>
      <c r="C496" s="4" t="s">
        <v>92</v>
      </c>
      <c r="D496" s="4" t="s">
        <v>48</v>
      </c>
      <c r="E496" s="4" t="s">
        <v>54</v>
      </c>
      <c r="F496" s="4" t="s">
        <v>23</v>
      </c>
      <c r="G496" t="s">
        <v>82</v>
      </c>
      <c r="H496" s="2">
        <v>5</v>
      </c>
      <c r="I496" s="2">
        <v>18</v>
      </c>
      <c r="J496">
        <v>28</v>
      </c>
      <c r="K496">
        <v>5</v>
      </c>
      <c r="L496">
        <v>12</v>
      </c>
      <c r="M496" t="s">
        <v>25</v>
      </c>
      <c r="N496" t="s">
        <v>26</v>
      </c>
      <c r="O496">
        <v>41</v>
      </c>
      <c r="P496" t="s">
        <v>52</v>
      </c>
      <c r="Q496" t="s">
        <v>53</v>
      </c>
      <c r="R496" t="s">
        <v>29</v>
      </c>
      <c r="S496" t="s">
        <v>543</v>
      </c>
      <c r="T496" s="1">
        <v>46666</v>
      </c>
      <c r="U496">
        <f t="shared" si="42"/>
        <v>140</v>
      </c>
      <c r="V496">
        <f t="shared" si="43"/>
        <v>90</v>
      </c>
      <c r="W496">
        <f t="shared" si="44"/>
        <v>50</v>
      </c>
      <c r="X496" s="5">
        <f t="shared" si="45"/>
        <v>0.35714285714285715</v>
      </c>
      <c r="Y496">
        <f t="shared" si="46"/>
        <v>2025</v>
      </c>
      <c r="Z496">
        <f t="shared" si="47"/>
        <v>5</v>
      </c>
    </row>
    <row r="497" spans="1:26" x14ac:dyDescent="0.3">
      <c r="A497" s="2">
        <v>1493</v>
      </c>
      <c r="B497" s="3">
        <v>45707</v>
      </c>
      <c r="C497" s="4" t="s">
        <v>69</v>
      </c>
      <c r="D497" s="4" t="s">
        <v>48</v>
      </c>
      <c r="E497" s="4" t="s">
        <v>70</v>
      </c>
      <c r="F497" s="4" t="s">
        <v>50</v>
      </c>
      <c r="G497" t="s">
        <v>71</v>
      </c>
      <c r="H497" s="2">
        <v>5</v>
      </c>
      <c r="I497" s="2">
        <v>25</v>
      </c>
      <c r="J497">
        <v>38</v>
      </c>
      <c r="K497">
        <v>5</v>
      </c>
      <c r="L497">
        <v>12</v>
      </c>
      <c r="M497" t="s">
        <v>43</v>
      </c>
      <c r="N497" t="s">
        <v>44</v>
      </c>
      <c r="O497">
        <v>55</v>
      </c>
      <c r="P497" t="s">
        <v>36</v>
      </c>
      <c r="Q497" t="s">
        <v>37</v>
      </c>
      <c r="R497" t="s">
        <v>54</v>
      </c>
      <c r="S497" t="s">
        <v>558</v>
      </c>
      <c r="T497" s="1">
        <v>46468</v>
      </c>
      <c r="U497">
        <f t="shared" si="42"/>
        <v>190</v>
      </c>
      <c r="V497">
        <f t="shared" si="43"/>
        <v>125</v>
      </c>
      <c r="W497">
        <f t="shared" si="44"/>
        <v>65</v>
      </c>
      <c r="X497" s="5">
        <f t="shared" si="45"/>
        <v>0.34210526315789475</v>
      </c>
      <c r="Y497">
        <f t="shared" si="46"/>
        <v>2025</v>
      </c>
      <c r="Z497">
        <f t="shared" si="47"/>
        <v>2</v>
      </c>
    </row>
    <row r="498" spans="1:26" x14ac:dyDescent="0.3">
      <c r="A498" s="2">
        <v>1495</v>
      </c>
      <c r="B498" s="3">
        <v>46012</v>
      </c>
      <c r="C498" s="4" t="s">
        <v>75</v>
      </c>
      <c r="D498" s="4" t="s">
        <v>41</v>
      </c>
      <c r="E498" s="4" t="s">
        <v>76</v>
      </c>
      <c r="F498" s="4" t="s">
        <v>23</v>
      </c>
      <c r="G498" t="s">
        <v>42</v>
      </c>
      <c r="H498" s="2">
        <v>5</v>
      </c>
      <c r="I498" s="2">
        <v>25</v>
      </c>
      <c r="J498">
        <v>35</v>
      </c>
      <c r="K498">
        <v>0</v>
      </c>
      <c r="L498">
        <v>12</v>
      </c>
      <c r="M498" t="s">
        <v>43</v>
      </c>
      <c r="N498" t="s">
        <v>44</v>
      </c>
      <c r="O498">
        <v>30</v>
      </c>
      <c r="P498" t="s">
        <v>36</v>
      </c>
      <c r="Q498" t="s">
        <v>59</v>
      </c>
      <c r="R498" t="s">
        <v>29</v>
      </c>
      <c r="S498" t="s">
        <v>560</v>
      </c>
      <c r="T498" s="1">
        <v>46446</v>
      </c>
      <c r="U498">
        <f t="shared" si="42"/>
        <v>175</v>
      </c>
      <c r="V498">
        <f t="shared" si="43"/>
        <v>125</v>
      </c>
      <c r="W498">
        <f t="shared" si="44"/>
        <v>50</v>
      </c>
      <c r="X498" s="5">
        <f t="shared" si="45"/>
        <v>0.2857142857142857</v>
      </c>
      <c r="Y498">
        <f t="shared" si="46"/>
        <v>2025</v>
      </c>
      <c r="Z498">
        <f t="shared" si="47"/>
        <v>12</v>
      </c>
    </row>
    <row r="499" spans="1:26" x14ac:dyDescent="0.3">
      <c r="A499" s="2">
        <v>1497</v>
      </c>
      <c r="B499" s="3">
        <v>45918</v>
      </c>
      <c r="C499" s="4" t="s">
        <v>134</v>
      </c>
      <c r="D499" s="4" t="s">
        <v>21</v>
      </c>
      <c r="E499" s="4" t="s">
        <v>29</v>
      </c>
      <c r="F499" s="4" t="s">
        <v>50</v>
      </c>
      <c r="G499" t="s">
        <v>24</v>
      </c>
      <c r="H499" s="2">
        <v>5</v>
      </c>
      <c r="I499" s="2">
        <v>70</v>
      </c>
      <c r="J499">
        <v>95</v>
      </c>
      <c r="K499">
        <v>5</v>
      </c>
      <c r="L499">
        <v>12</v>
      </c>
      <c r="M499" t="s">
        <v>25</v>
      </c>
      <c r="N499" t="s">
        <v>44</v>
      </c>
      <c r="O499">
        <v>19</v>
      </c>
      <c r="P499" t="s">
        <v>45</v>
      </c>
      <c r="Q499" t="s">
        <v>37</v>
      </c>
      <c r="R499" t="s">
        <v>54</v>
      </c>
      <c r="S499" t="s">
        <v>562</v>
      </c>
      <c r="T499" s="1">
        <v>46308</v>
      </c>
      <c r="U499">
        <f t="shared" si="42"/>
        <v>475</v>
      </c>
      <c r="V499">
        <f t="shared" si="43"/>
        <v>350</v>
      </c>
      <c r="W499">
        <f t="shared" si="44"/>
        <v>125</v>
      </c>
      <c r="X499" s="5">
        <f t="shared" si="45"/>
        <v>0.26315789473684209</v>
      </c>
      <c r="Y499">
        <f t="shared" si="46"/>
        <v>2025</v>
      </c>
      <c r="Z499">
        <f t="shared" si="47"/>
        <v>9</v>
      </c>
    </row>
    <row r="500" spans="1:26" x14ac:dyDescent="0.3">
      <c r="A500" s="2">
        <v>1498</v>
      </c>
      <c r="B500" s="3">
        <v>45995</v>
      </c>
      <c r="C500" s="4" t="s">
        <v>84</v>
      </c>
      <c r="D500" s="4" t="s">
        <v>85</v>
      </c>
      <c r="E500" s="4" t="s">
        <v>63</v>
      </c>
      <c r="F500" s="4" t="s">
        <v>23</v>
      </c>
      <c r="G500" t="s">
        <v>82</v>
      </c>
      <c r="H500" s="2">
        <v>5</v>
      </c>
      <c r="I500" s="2">
        <v>45</v>
      </c>
      <c r="J500">
        <v>65</v>
      </c>
      <c r="K500">
        <v>0</v>
      </c>
      <c r="L500">
        <v>12</v>
      </c>
      <c r="M500" t="s">
        <v>35</v>
      </c>
      <c r="N500" t="s">
        <v>44</v>
      </c>
      <c r="O500">
        <v>73</v>
      </c>
      <c r="P500" t="s">
        <v>52</v>
      </c>
      <c r="Q500" t="s">
        <v>66</v>
      </c>
      <c r="R500" t="s">
        <v>86</v>
      </c>
      <c r="S500" t="s">
        <v>563</v>
      </c>
      <c r="T500" s="1">
        <v>46225</v>
      </c>
      <c r="U500">
        <f t="shared" si="42"/>
        <v>325</v>
      </c>
      <c r="V500">
        <f t="shared" si="43"/>
        <v>225</v>
      </c>
      <c r="W500">
        <f t="shared" si="44"/>
        <v>100</v>
      </c>
      <c r="X500" s="5">
        <f t="shared" si="45"/>
        <v>0.30769230769230771</v>
      </c>
      <c r="Y500">
        <f t="shared" si="46"/>
        <v>2025</v>
      </c>
      <c r="Z500">
        <f t="shared" si="47"/>
        <v>12</v>
      </c>
    </row>
    <row r="501" spans="1:26" x14ac:dyDescent="0.3">
      <c r="A501" s="2">
        <v>1500</v>
      </c>
      <c r="B501" s="3">
        <v>45717</v>
      </c>
      <c r="C501" s="4" t="s">
        <v>40</v>
      </c>
      <c r="D501" s="4" t="s">
        <v>41</v>
      </c>
      <c r="E501" s="4" t="s">
        <v>33</v>
      </c>
      <c r="F501" s="4" t="s">
        <v>23</v>
      </c>
      <c r="G501" t="s">
        <v>42</v>
      </c>
      <c r="H501" s="2">
        <v>5</v>
      </c>
      <c r="I501" s="2">
        <v>24</v>
      </c>
      <c r="J501">
        <v>34</v>
      </c>
      <c r="K501">
        <v>0</v>
      </c>
      <c r="L501">
        <v>12</v>
      </c>
      <c r="M501" t="s">
        <v>25</v>
      </c>
      <c r="N501" t="s">
        <v>26</v>
      </c>
      <c r="O501">
        <v>58</v>
      </c>
      <c r="P501" t="s">
        <v>36</v>
      </c>
      <c r="Q501" t="s">
        <v>28</v>
      </c>
      <c r="R501" t="s">
        <v>22</v>
      </c>
      <c r="S501" t="s">
        <v>565</v>
      </c>
      <c r="T501" s="1">
        <v>45904</v>
      </c>
      <c r="U501">
        <f t="shared" si="42"/>
        <v>170</v>
      </c>
      <c r="V501">
        <f t="shared" si="43"/>
        <v>120</v>
      </c>
      <c r="W501">
        <f t="shared" si="44"/>
        <v>50</v>
      </c>
      <c r="X501" s="5">
        <f t="shared" si="45"/>
        <v>0.29411764705882354</v>
      </c>
      <c r="Y501">
        <f t="shared" si="46"/>
        <v>2025</v>
      </c>
      <c r="Z501">
        <f t="shared" si="47"/>
        <v>3</v>
      </c>
    </row>
  </sheetData>
  <autoFilter ref="A1:T501" xr:uid="{00000000-0001-0000-0000-000000000000}">
    <sortState xmlns:xlrd2="http://schemas.microsoft.com/office/spreadsheetml/2017/richdata2" ref="A2:T501">
      <sortCondition ref="H1:H501"/>
    </sortState>
  </autoFilter>
  <conditionalFormatting sqref="A1:A501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SELLING MEDICINE</vt:lpstr>
      <vt:lpstr>MedicalShopSales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Prada SR</cp:lastModifiedBy>
  <dcterms:created xsi:type="dcterms:W3CDTF">2026-07-29T17:51:32Z</dcterms:created>
  <dcterms:modified xsi:type="dcterms:W3CDTF">2026-07-29T18:45:01Z</dcterms:modified>
</cp:coreProperties>
</file>